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ass files\Module 3\"/>
    </mc:Choice>
  </mc:AlternateContent>
  <xr:revisionPtr revIDLastSave="0" documentId="13_ncr:1_{E250B633-8C28-4C30-9A16-B9737B3A28BF}" xr6:coauthVersionLast="47" xr6:coauthVersionMax="47" xr10:uidLastSave="{00000000-0000-0000-0000-000000000000}"/>
  <bookViews>
    <workbookView xWindow="-110" yWindow="-110" windowWidth="19420" windowHeight="10300" tabRatio="758" activeTab="3" xr2:uid="{00000000-000D-0000-FFFF-FFFF00000000}"/>
  </bookViews>
  <sheets>
    <sheet name="Instructions" sheetId="8" r:id="rId1"/>
    <sheet name="RAW DATA 1" sheetId="1" r:id="rId2"/>
    <sheet name="RAW DATA 2" sheetId="3" r:id="rId3"/>
    <sheet name="Table 1" sheetId="5" r:id="rId4"/>
    <sheet name="Table 2" sheetId="6" r:id="rId5"/>
    <sheet name="Pivot" sheetId="7" r:id="rId6"/>
  </sheets>
  <functionGroups builtInGroupCount="19"/>
  <definedNames>
    <definedName name="_xlnm._FilterDatabase" localSheetId="1" hidden="1">'RAW DATA 1'!$B$3:$D$3</definedName>
  </definedNames>
  <calcPr calcId="191029"/>
</workbook>
</file>

<file path=xl/calcChain.xml><?xml version="1.0" encoding="utf-8"?>
<calcChain xmlns="http://schemas.openxmlformats.org/spreadsheetml/2006/main">
  <c r="D15" i="5" l="1"/>
  <c r="E10" i="5"/>
  <c r="F10" i="5" s="1"/>
  <c r="E11" i="5"/>
  <c r="F11" i="5" s="1"/>
  <c r="E12" i="5"/>
  <c r="F12" i="5" s="1"/>
  <c r="E13" i="5"/>
  <c r="F13" i="5" s="1"/>
  <c r="E14" i="5"/>
  <c r="F14" i="5" s="1"/>
  <c r="E15" i="5"/>
  <c r="F15" i="5" s="1"/>
  <c r="E16" i="5"/>
  <c r="F16" i="5" s="1"/>
  <c r="E17" i="5"/>
  <c r="F17" i="5" s="1"/>
  <c r="E18" i="5"/>
  <c r="F18" i="5" s="1"/>
  <c r="E19" i="5"/>
  <c r="F19" i="5" s="1"/>
  <c r="E20" i="5"/>
  <c r="F20" i="5" s="1"/>
  <c r="E21" i="5"/>
  <c r="F21" i="5" s="1"/>
  <c r="E9" i="5"/>
  <c r="F9" i="5" s="1"/>
  <c r="C9" i="5"/>
  <c r="D10" i="5"/>
  <c r="D11" i="5"/>
  <c r="D12" i="5"/>
  <c r="D13" i="5"/>
  <c r="D14" i="5"/>
  <c r="D16" i="5"/>
  <c r="D17" i="5"/>
  <c r="D18" i="5"/>
  <c r="D19" i="5"/>
  <c r="D20" i="5"/>
  <c r="D21" i="5"/>
  <c r="D9" i="5"/>
  <c r="C10" i="5"/>
  <c r="C11" i="5"/>
  <c r="C12" i="5"/>
  <c r="C13" i="5"/>
  <c r="C14" i="5"/>
  <c r="C15" i="5"/>
  <c r="C16" i="5"/>
  <c r="C17" i="5"/>
  <c r="C18" i="5"/>
  <c r="C19" i="5"/>
  <c r="C20" i="5"/>
  <c r="C21" i="5"/>
</calcChain>
</file>

<file path=xl/sharedStrings.xml><?xml version="1.0" encoding="utf-8"?>
<sst xmlns="http://schemas.openxmlformats.org/spreadsheetml/2006/main" count="1424" uniqueCount="197">
  <si>
    <t>Legal Entity</t>
  </si>
  <si>
    <t>No</t>
  </si>
  <si>
    <t>Yes</t>
  </si>
  <si>
    <t>Total Promote</t>
  </si>
  <si>
    <t>Promote (Y/N)</t>
  </si>
  <si>
    <t>Record Count</t>
  </si>
  <si>
    <t>Legal Entity Number 1</t>
  </si>
  <si>
    <t>Legal Entity Number 2</t>
  </si>
  <si>
    <t>Legal Entity Number 3</t>
  </si>
  <si>
    <t>Legal Entity Number 4</t>
  </si>
  <si>
    <t>Legal Entity Number 5</t>
  </si>
  <si>
    <t>Legal Entity Number 6</t>
  </si>
  <si>
    <t>Legal Entity Number 7</t>
  </si>
  <si>
    <t>Legal Entity Number 8</t>
  </si>
  <si>
    <t>Legal Entity Number 9</t>
  </si>
  <si>
    <t>Legal Entity Number 10</t>
  </si>
  <si>
    <t>Total</t>
  </si>
  <si>
    <t>Legal Entity Number 5A</t>
  </si>
  <si>
    <t>Legal Entity Number 8B</t>
  </si>
  <si>
    <t>Legal Entity Number 10A</t>
  </si>
  <si>
    <t>Investor</t>
  </si>
  <si>
    <t>Investor 1</t>
  </si>
  <si>
    <t>Investor 2</t>
  </si>
  <si>
    <t>Investor 3</t>
  </si>
  <si>
    <t>Investor 4</t>
  </si>
  <si>
    <t>Investor 5</t>
  </si>
  <si>
    <t>Investor 6</t>
  </si>
  <si>
    <t>Investor 7</t>
  </si>
  <si>
    <t>Investor 8</t>
  </si>
  <si>
    <t>Investor 9</t>
  </si>
  <si>
    <t>Investor 10</t>
  </si>
  <si>
    <t>Investor 11</t>
  </si>
  <si>
    <t>Investor 12</t>
  </si>
  <si>
    <t>Investor 13</t>
  </si>
  <si>
    <t>Investor 14</t>
  </si>
  <si>
    <t>Investor 15</t>
  </si>
  <si>
    <t>Investor 16</t>
  </si>
  <si>
    <t>Investor 17</t>
  </si>
  <si>
    <t>Investor 18</t>
  </si>
  <si>
    <t>Commitment</t>
  </si>
  <si>
    <t>Limited Partner</t>
  </si>
  <si>
    <t>Fund</t>
  </si>
  <si>
    <t>EID</t>
  </si>
  <si>
    <t>Close</t>
  </si>
  <si>
    <t>08.22.14</t>
  </si>
  <si>
    <t>Undisposed</t>
  </si>
  <si>
    <t>Investor 19</t>
  </si>
  <si>
    <t>Investor 20</t>
  </si>
  <si>
    <t>Investor 21</t>
  </si>
  <si>
    <t>Investor 22</t>
  </si>
  <si>
    <t>Investor 23</t>
  </si>
  <si>
    <t>Investor 24</t>
  </si>
  <si>
    <t>Investor 25</t>
  </si>
  <si>
    <t>Investor 26</t>
  </si>
  <si>
    <t>Investor 27</t>
  </si>
  <si>
    <t>Investor 28</t>
  </si>
  <si>
    <t>Investor 29</t>
  </si>
  <si>
    <t>Investor 30</t>
  </si>
  <si>
    <t>Investor 31</t>
  </si>
  <si>
    <t>Investor 32</t>
  </si>
  <si>
    <t>Investor 33</t>
  </si>
  <si>
    <t>Investor 34</t>
  </si>
  <si>
    <t>Investor 35</t>
  </si>
  <si>
    <t>Investor 36</t>
  </si>
  <si>
    <t>Investor 37</t>
  </si>
  <si>
    <t>Investor 38</t>
  </si>
  <si>
    <t>Investor 39</t>
  </si>
  <si>
    <t>Investor 40</t>
  </si>
  <si>
    <t>Investor 41</t>
  </si>
  <si>
    <t>Investor 42</t>
  </si>
  <si>
    <t>Investor 43</t>
  </si>
  <si>
    <t>Investor 44</t>
  </si>
  <si>
    <t>Investor 45</t>
  </si>
  <si>
    <t>Investor 46</t>
  </si>
  <si>
    <t>Investor 47</t>
  </si>
  <si>
    <t>Investor 48</t>
  </si>
  <si>
    <t>Investor 49</t>
  </si>
  <si>
    <t>Investor 50</t>
  </si>
  <si>
    <t>Investor 51</t>
  </si>
  <si>
    <t>Investor 52</t>
  </si>
  <si>
    <t>Investor 53</t>
  </si>
  <si>
    <t>Investor 54</t>
  </si>
  <si>
    <t>Investor 55</t>
  </si>
  <si>
    <t>Investor 56</t>
  </si>
  <si>
    <t>Investor 57</t>
  </si>
  <si>
    <t>Investor 58</t>
  </si>
  <si>
    <t>Investor 59</t>
  </si>
  <si>
    <t>Investor 60</t>
  </si>
  <si>
    <t>Investor 61</t>
  </si>
  <si>
    <t>Investor 62</t>
  </si>
  <si>
    <t>Investor 63</t>
  </si>
  <si>
    <t>Investor 64</t>
  </si>
  <si>
    <t>Investor 65</t>
  </si>
  <si>
    <t>Investor 66</t>
  </si>
  <si>
    <t>Investor 67</t>
  </si>
  <si>
    <t>Investor 68</t>
  </si>
  <si>
    <t>Investor 69</t>
  </si>
  <si>
    <t>Investor 70</t>
  </si>
  <si>
    <t>Investor 71</t>
  </si>
  <si>
    <t>Investor 72</t>
  </si>
  <si>
    <t>Investor 73</t>
  </si>
  <si>
    <t>Investor 74</t>
  </si>
  <si>
    <t>Investor 75</t>
  </si>
  <si>
    <t>Investor 76</t>
  </si>
  <si>
    <t>Investor 77</t>
  </si>
  <si>
    <t>Investor 78</t>
  </si>
  <si>
    <t>Investor 79</t>
  </si>
  <si>
    <t>Investor 80</t>
  </si>
  <si>
    <t>Investor 81</t>
  </si>
  <si>
    <t>Investor 82</t>
  </si>
  <si>
    <t>Investor 83</t>
  </si>
  <si>
    <t>Investor 84</t>
  </si>
  <si>
    <t>Investor 85</t>
  </si>
  <si>
    <t>Investor 86</t>
  </si>
  <si>
    <t>Investor 87</t>
  </si>
  <si>
    <t>Investor 88</t>
  </si>
  <si>
    <t>Investor 89</t>
  </si>
  <si>
    <t>Investor 90</t>
  </si>
  <si>
    <t>Investor 91</t>
  </si>
  <si>
    <t>Investor 92</t>
  </si>
  <si>
    <t>Investor 93</t>
  </si>
  <si>
    <t>Investor 94</t>
  </si>
  <si>
    <t>Investor 95</t>
  </si>
  <si>
    <t>Investor 96</t>
  </si>
  <si>
    <t>Investor 97</t>
  </si>
  <si>
    <t>Investor 98</t>
  </si>
  <si>
    <t>Investor 99</t>
  </si>
  <si>
    <t>Investor 100</t>
  </si>
  <si>
    <t>Investor 101</t>
  </si>
  <si>
    <t>Investor 102</t>
  </si>
  <si>
    <t>Investor 103</t>
  </si>
  <si>
    <t>Investor 104</t>
  </si>
  <si>
    <t>Investor 105</t>
  </si>
  <si>
    <t>Investor 106</t>
  </si>
  <si>
    <t>Investor 107</t>
  </si>
  <si>
    <t>Investor 108</t>
  </si>
  <si>
    <t>Investor 109</t>
  </si>
  <si>
    <t>Investor 110</t>
  </si>
  <si>
    <t>Investor 111</t>
  </si>
  <si>
    <t>Investor 112</t>
  </si>
  <si>
    <t>Investor 113</t>
  </si>
  <si>
    <t>Investor 114</t>
  </si>
  <si>
    <t>Investor 115</t>
  </si>
  <si>
    <t>Investor 116</t>
  </si>
  <si>
    <t>Investor 117</t>
  </si>
  <si>
    <t>Investor 118</t>
  </si>
  <si>
    <t>Investor 119</t>
  </si>
  <si>
    <t>Investor 120</t>
  </si>
  <si>
    <t>Investor 121</t>
  </si>
  <si>
    <t>Investor 122</t>
  </si>
  <si>
    <t>Investor 123</t>
  </si>
  <si>
    <t>Investor 124</t>
  </si>
  <si>
    <t>Investor 125</t>
  </si>
  <si>
    <t>Investor 126</t>
  </si>
  <si>
    <t>Fund 1</t>
  </si>
  <si>
    <t>Management Fee</t>
  </si>
  <si>
    <t>Quarter 1</t>
  </si>
  <si>
    <t>Quarter 2</t>
  </si>
  <si>
    <t>Quarter 3</t>
  </si>
  <si>
    <t>Quarter 4</t>
  </si>
  <si>
    <t>Rounded</t>
  </si>
  <si>
    <t xml:space="preserve">    a. Quarter 1 - .25% of Commitment</t>
  </si>
  <si>
    <t xml:space="preserve">    b. Quarter 2 - .25% of Commitment + .25% of Undisposed</t>
  </si>
  <si>
    <t xml:space="preserve">    c. Quarter 3 - .25% of Undisposed</t>
  </si>
  <si>
    <t xml:space="preserve">    d. Quarter 4 - .375% of Undisposed</t>
  </si>
  <si>
    <t>Total Management Fees</t>
  </si>
  <si>
    <t>Excel Test - Table 1</t>
  </si>
  <si>
    <t>Excel Test - Table 2</t>
  </si>
  <si>
    <t>Excel Test - Pivot</t>
  </si>
  <si>
    <r>
      <t xml:space="preserve">Create a </t>
    </r>
    <r>
      <rPr>
        <b/>
        <sz val="12"/>
        <color indexed="62"/>
        <rFont val="Verdana"/>
        <family val="2"/>
      </rPr>
      <t>pivot to return the total promote of Legal Entities with the condition of Promote column being "Yes"</t>
    </r>
  </si>
  <si>
    <t>1. Use a Vlookup to return the Promote (Yes/No) value in Column B, return "-" for every error in column B</t>
  </si>
  <si>
    <t>2. Use a CountIf to return the count of records by Legal Entity in Column C</t>
  </si>
  <si>
    <t>3. Use a SumiIf to return the total Promote by Legal Entity in Column D</t>
  </si>
  <si>
    <t>4. Round numbers in Column D to the nearest dollar in column E</t>
  </si>
  <si>
    <t>Refer "Raw Data 1" tab:</t>
  </si>
  <si>
    <t>Refer "Raw Data 2" tab:</t>
  </si>
  <si>
    <t>6. Use Hlookup to return Total Management fees for the investors in Table 2 Below</t>
  </si>
  <si>
    <t>5. In "Raw Data 2" sheet, Calculate Management fee (Commission) in row 9 to row 12 using the following basis:</t>
  </si>
  <si>
    <t>Raw Data 1</t>
  </si>
  <si>
    <t>Raw Data 2</t>
  </si>
  <si>
    <t>Instructions</t>
  </si>
  <si>
    <t>Duration</t>
  </si>
  <si>
    <t>35 min</t>
  </si>
  <si>
    <t>Table 1</t>
  </si>
  <si>
    <t>Table 2</t>
  </si>
  <si>
    <t>Pivot</t>
  </si>
  <si>
    <t>S. No.</t>
  </si>
  <si>
    <t>Sheet</t>
  </si>
  <si>
    <r>
      <rPr>
        <b/>
        <sz val="12"/>
        <color indexed="62"/>
        <rFont val="Arial"/>
        <family val="2"/>
      </rPr>
      <t xml:space="preserve">Refer instructions </t>
    </r>
    <r>
      <rPr>
        <sz val="12"/>
        <color indexed="62"/>
        <rFont val="Arial"/>
        <family val="2"/>
      </rPr>
      <t>in tab listed below to complete the excercises:</t>
    </r>
  </si>
  <si>
    <t>1. Click on the 'Start Test' button to begin the test.</t>
  </si>
  <si>
    <t>3. Also, make sure you have saved this file on the 'Desktop', close it and then re-open again.</t>
  </si>
  <si>
    <t>4. If prompted, click on the 'Enable Content' button as shown below.</t>
  </si>
  <si>
    <t>You will get a warning that the file will close in 5 minutes. Try and wrap up the test.</t>
  </si>
  <si>
    <t>After 5 minutes of grace time, The file will save automatically and hide all the working sheets.</t>
  </si>
  <si>
    <t>When this happens, please email the file back to the HR.</t>
  </si>
  <si>
    <t>After 35 minutes:</t>
  </si>
  <si>
    <t>2. This File will automatically close in 40 minutes. Please make sure you are done by that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</si>
</sst>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,##0.00_);[Red]\(#,##0.00\);&quot;-&quot;"/>
  </numFmts>
  <fonts count="24" x14ac:knownFonts="1">
    <font>
      <sz val="8"/>
      <name val="Verdana"/>
    </font>
    <font>
      <sz val="8"/>
      <name val="Verdana"/>
      <family val="2"/>
    </font>
    <font>
      <sz val="10"/>
      <name val="Arial"/>
      <family val="2"/>
    </font>
    <font>
      <b/>
      <u/>
      <sz val="10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b/>
      <sz val="12"/>
      <color indexed="62"/>
      <name val="Verdana"/>
      <family val="2"/>
    </font>
    <font>
      <b/>
      <sz val="12"/>
      <color indexed="62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2"/>
      <color indexed="62"/>
      <name val="Arial"/>
      <family val="2"/>
    </font>
    <font>
      <b/>
      <sz val="12"/>
      <name val="Arial"/>
      <family val="2"/>
    </font>
    <font>
      <u/>
      <sz val="8"/>
      <color theme="10"/>
      <name val="Verdana"/>
      <family val="2"/>
    </font>
    <font>
      <b/>
      <sz val="26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4"/>
      <name val="Arial"/>
      <family val="2"/>
    </font>
    <font>
      <sz val="10"/>
      <color theme="4"/>
      <name val="Arial"/>
      <family val="2"/>
    </font>
    <font>
      <b/>
      <u/>
      <sz val="10"/>
      <color theme="0"/>
      <name val="Arial"/>
      <family val="2"/>
    </font>
    <font>
      <sz val="12"/>
      <color theme="4"/>
      <name val="Arial"/>
      <family val="2"/>
    </font>
    <font>
      <u/>
      <sz val="12"/>
      <color theme="10"/>
      <name val="Arial"/>
      <family val="2"/>
    </font>
    <font>
      <sz val="16"/>
      <name val="Verdana"/>
      <family val="2"/>
    </font>
    <font>
      <sz val="16"/>
      <color rgb="FFFF0000"/>
      <name val="Verdana"/>
      <family val="2"/>
    </font>
    <font>
      <u/>
      <sz val="16"/>
      <name val="Verdana"/>
      <family val="2"/>
    </font>
    <font>
      <sz val="11"/>
      <color rgb="FFFF000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4"/>
      </left>
      <right style="thin">
        <color theme="0" tint="-0.14996795556505021"/>
      </right>
      <top style="thin">
        <color theme="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4"/>
      </right>
      <top style="thin">
        <color theme="4"/>
      </top>
      <bottom style="thin">
        <color theme="0" tint="-0.14996795556505021"/>
      </bottom>
      <diagonal/>
    </border>
    <border>
      <left style="thin">
        <color theme="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/>
      </left>
      <right style="thin">
        <color theme="0" tint="-0.14996795556505021"/>
      </right>
      <top style="thin">
        <color theme="0" tint="-0.14996795556505021"/>
      </top>
      <bottom style="thin">
        <color theme="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0" tint="-0.14996795556505021"/>
      </left>
      <right style="thin">
        <color theme="4"/>
      </right>
      <top style="thin">
        <color theme="0" tint="-0.14996795556505021"/>
      </top>
      <bottom style="thin">
        <color theme="4"/>
      </bottom>
      <diagonal/>
    </border>
    <border>
      <left style="thin">
        <color theme="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4"/>
      </right>
      <top style="thin">
        <color theme="4"/>
      </top>
      <bottom style="thin">
        <color theme="0" tint="-0.14993743705557422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75">
    <xf numFmtId="0" fontId="0" fillId="0" borderId="0" xfId="0"/>
    <xf numFmtId="0" fontId="1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166" fontId="2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0" fontId="14" fillId="2" borderId="1" xfId="0" applyFont="1" applyFill="1" applyBorder="1" applyAlignment="1">
      <alignment horizontal="left" vertical="top"/>
    </xf>
    <xf numFmtId="0" fontId="14" fillId="2" borderId="2" xfId="0" applyFont="1" applyFill="1" applyBorder="1" applyAlignment="1">
      <alignment horizontal="left" vertical="top"/>
    </xf>
    <xf numFmtId="166" fontId="14" fillId="2" borderId="2" xfId="0" applyNumberFormat="1" applyFont="1" applyFill="1" applyBorder="1" applyAlignment="1">
      <alignment horizontal="left" vertical="top"/>
    </xf>
    <xf numFmtId="166" fontId="14" fillId="2" borderId="3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166" fontId="2" fillId="0" borderId="5" xfId="0" applyNumberFormat="1" applyFont="1" applyBorder="1" applyAlignment="1">
      <alignment horizontal="left" vertical="top"/>
    </xf>
    <xf numFmtId="166" fontId="2" fillId="0" borderId="6" xfId="0" applyNumberFormat="1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0" xfId="0" applyFont="1"/>
    <xf numFmtId="0" fontId="13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5" fillId="0" borderId="0" xfId="0" applyFont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4" fillId="0" borderId="10" xfId="0" applyFont="1" applyBorder="1" applyAlignment="1">
      <alignment vertical="top"/>
    </xf>
    <xf numFmtId="0" fontId="2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2" fillId="0" borderId="15" xfId="0" applyFont="1" applyBorder="1" applyAlignment="1">
      <alignment horizontal="left" vertical="top"/>
    </xf>
    <xf numFmtId="0" fontId="4" fillId="0" borderId="16" xfId="0" applyFont="1" applyBorder="1" applyAlignment="1">
      <alignment vertical="top"/>
    </xf>
    <xf numFmtId="0" fontId="16" fillId="0" borderId="9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4" xfId="0" applyFont="1" applyBorder="1" applyAlignment="1">
      <alignment horizontal="left" vertical="top"/>
    </xf>
    <xf numFmtId="166" fontId="2" fillId="0" borderId="0" xfId="0" applyNumberFormat="1" applyFont="1" applyAlignment="1">
      <alignment horizontal="right" vertical="top"/>
    </xf>
    <xf numFmtId="166" fontId="14" fillId="2" borderId="3" xfId="0" applyNumberFormat="1" applyFont="1" applyFill="1" applyBorder="1" applyAlignment="1">
      <alignment horizontal="right" vertical="top"/>
    </xf>
    <xf numFmtId="166" fontId="2" fillId="0" borderId="6" xfId="0" applyNumberFormat="1" applyFont="1" applyBorder="1" applyAlignment="1">
      <alignment horizontal="right" vertical="top"/>
    </xf>
    <xf numFmtId="166" fontId="2" fillId="0" borderId="17" xfId="0" applyNumberFormat="1" applyFont="1" applyBorder="1" applyAlignment="1">
      <alignment horizontal="right" vertical="top"/>
    </xf>
    <xf numFmtId="0" fontId="5" fillId="0" borderId="0" xfId="0" applyFont="1" applyAlignment="1">
      <alignment horizontal="left" vertical="top"/>
    </xf>
    <xf numFmtId="165" fontId="2" fillId="0" borderId="0" xfId="1" applyFont="1" applyAlignment="1">
      <alignment horizontal="left" vertical="top"/>
    </xf>
    <xf numFmtId="165" fontId="2" fillId="0" borderId="5" xfId="1" applyFont="1" applyBorder="1" applyAlignment="1">
      <alignment horizontal="left" vertical="top"/>
    </xf>
    <xf numFmtId="165" fontId="2" fillId="0" borderId="6" xfId="1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165" fontId="2" fillId="0" borderId="8" xfId="1" applyFont="1" applyBorder="1" applyAlignment="1">
      <alignment horizontal="left" vertical="top"/>
    </xf>
    <xf numFmtId="165" fontId="2" fillId="0" borderId="17" xfId="1" applyFont="1" applyBorder="1" applyAlignment="1">
      <alignment horizontal="left" vertical="top"/>
    </xf>
    <xf numFmtId="0" fontId="14" fillId="3" borderId="2" xfId="0" applyFont="1" applyFill="1" applyBorder="1" applyAlignment="1">
      <alignment horizontal="left" vertical="top"/>
    </xf>
    <xf numFmtId="0" fontId="14" fillId="3" borderId="3" xfId="0" applyFont="1" applyFill="1" applyBorder="1" applyAlignment="1">
      <alignment horizontal="left" vertical="top"/>
    </xf>
    <xf numFmtId="0" fontId="14" fillId="2" borderId="4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/>
    </xf>
    <xf numFmtId="0" fontId="17" fillId="2" borderId="1" xfId="0" applyFont="1" applyFill="1" applyBorder="1" applyAlignment="1">
      <alignment horizontal="left" vertical="top"/>
    </xf>
    <xf numFmtId="165" fontId="2" fillId="4" borderId="5" xfId="1" applyFont="1" applyFill="1" applyBorder="1" applyAlignment="1">
      <alignment horizontal="left" vertical="top"/>
    </xf>
    <xf numFmtId="165" fontId="2" fillId="4" borderId="8" xfId="1" applyFont="1" applyFill="1" applyBorder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2" fillId="4" borderId="0" xfId="1" applyFont="1" applyFill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0" fontId="11" fillId="5" borderId="1" xfId="0" applyFont="1" applyFill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9" fillId="0" borderId="19" xfId="2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19" fillId="0" borderId="6" xfId="2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19" fillId="0" borderId="17" xfId="2" applyFont="1" applyBorder="1" applyAlignment="1">
      <alignment horizontal="left" vertical="center"/>
    </xf>
    <xf numFmtId="0" fontId="11" fillId="5" borderId="20" xfId="0" applyFont="1" applyFill="1" applyBorder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164" fontId="2" fillId="0" borderId="6" xfId="3" applyFont="1" applyBorder="1" applyAlignment="1">
      <alignment horizontal="left" vertical="top"/>
    </xf>
  </cellXfs>
  <cellStyles count="4">
    <cellStyle name="Comma" xfId="1" builtinId="3"/>
    <cellStyle name="Currency" xfId="3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533400</xdr:colOff>
      <xdr:row>0</xdr:row>
      <xdr:rowOff>76200</xdr:rowOff>
    </xdr:from>
    <xdr:to>
      <xdr:col>12</xdr:col>
      <xdr:colOff>351367</xdr:colOff>
      <xdr:row>2</xdr:row>
      <xdr:rowOff>25400</xdr:rowOff>
    </xdr:to>
    <xdr:sp macro="[0]!StartTes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95950" y="76200"/>
          <a:ext cx="1646767" cy="539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Start Test</a:t>
          </a:r>
          <a:endParaRPr lang="en-US" sz="1100" b="1"/>
        </a:p>
      </xdr:txBody>
    </xdr:sp>
    <xdr:clientData/>
  </xdr:twoCellAnchor>
  <xdr:twoCellAnchor>
    <xdr:from>
      <xdr:col>15</xdr:col>
      <xdr:colOff>259291</xdr:colOff>
      <xdr:row>0</xdr:row>
      <xdr:rowOff>76200</xdr:rowOff>
    </xdr:from>
    <xdr:to>
      <xdr:col>18</xdr:col>
      <xdr:colOff>243416</xdr:colOff>
      <xdr:row>2</xdr:row>
      <xdr:rowOff>120650</xdr:rowOff>
    </xdr:to>
    <xdr:sp macro="[0]!AdminRese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9441" y="76200"/>
          <a:ext cx="1812925" cy="635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600" b="1"/>
            <a:t>Unlock</a:t>
          </a:r>
          <a:br>
            <a:rPr lang="en-US" sz="2000" b="1"/>
          </a:br>
          <a:r>
            <a:rPr lang="en-US" sz="1200" b="1"/>
            <a:t>(Admin</a:t>
          </a:r>
          <a:r>
            <a:rPr lang="en-US" sz="1200" b="1" baseline="0"/>
            <a:t> Only)</a:t>
          </a:r>
          <a:endParaRPr lang="en-US" sz="1100" b="1"/>
        </a:p>
      </xdr:txBody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8</xdr:col>
      <xdr:colOff>581025</xdr:colOff>
      <xdr:row>25</xdr:row>
      <xdr:rowOff>38100</xdr:rowOff>
    </xdr:to>
    <xdr:pic>
      <xdr:nvPicPr>
        <xdr:cNvPr id="4" name="Picture 3" descr="Image result for enable macros in exce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219575"/>
          <a:ext cx="4953000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D30"/>
  <sheetViews>
    <sheetView showGridLines="0" workbookViewId="0">
      <selection activeCell="F2" sqref="F2"/>
    </sheetView>
  </sheetViews>
  <sheetFormatPr defaultColWidth="9.09765625" defaultRowHeight="12.5" x14ac:dyDescent="0.2"/>
  <cols>
    <col min="1" max="1" width="2.69921875" style="18" customWidth="1"/>
    <col min="2" max="2" width="10.69921875" style="18" bestFit="1" customWidth="1"/>
    <col min="3" max="16384" width="9.09765625" style="18"/>
  </cols>
  <sheetData>
    <row r="1" spans="1:4" s="58" customFormat="1" ht="32.5" x14ac:dyDescent="0.2">
      <c r="A1" s="17" t="s">
        <v>180</v>
      </c>
    </row>
    <row r="3" spans="1:4" s="59" customFormat="1" ht="15.5" x14ac:dyDescent="0.2">
      <c r="B3" s="60" t="s">
        <v>181</v>
      </c>
      <c r="C3" s="59" t="s">
        <v>182</v>
      </c>
    </row>
    <row r="4" spans="1:4" s="59" customFormat="1" ht="15.5" x14ac:dyDescent="0.2"/>
    <row r="5" spans="1:4" s="59" customFormat="1" ht="15.5" x14ac:dyDescent="0.2">
      <c r="B5" s="61" t="s">
        <v>188</v>
      </c>
    </row>
    <row r="6" spans="1:4" s="59" customFormat="1" ht="9.75" customHeight="1" x14ac:dyDescent="0.2"/>
    <row r="7" spans="1:4" s="59" customFormat="1" ht="31.5" customHeight="1" x14ac:dyDescent="0.2">
      <c r="C7" s="62" t="s">
        <v>186</v>
      </c>
      <c r="D7" s="69" t="s">
        <v>187</v>
      </c>
    </row>
    <row r="8" spans="1:4" s="59" customFormat="1" ht="31.5" customHeight="1" x14ac:dyDescent="0.2">
      <c r="C8" s="63">
        <v>1</v>
      </c>
      <c r="D8" s="64" t="s">
        <v>183</v>
      </c>
    </row>
    <row r="9" spans="1:4" s="59" customFormat="1" ht="31.5" customHeight="1" x14ac:dyDescent="0.2">
      <c r="C9" s="65">
        <v>2</v>
      </c>
      <c r="D9" s="66" t="s">
        <v>184</v>
      </c>
    </row>
    <row r="10" spans="1:4" s="59" customFormat="1" ht="31.5" customHeight="1" x14ac:dyDescent="0.2">
      <c r="C10" s="67">
        <v>3</v>
      </c>
      <c r="D10" s="68" t="s">
        <v>185</v>
      </c>
    </row>
    <row r="12" spans="1:4" ht="19.5" x14ac:dyDescent="0.35">
      <c r="A12" s="70" t="s">
        <v>189</v>
      </c>
    </row>
    <row r="13" spans="1:4" ht="19.5" x14ac:dyDescent="0.35">
      <c r="A13" s="71" t="s">
        <v>196</v>
      </c>
    </row>
    <row r="14" spans="1:4" ht="19.5" x14ac:dyDescent="0.35">
      <c r="A14" s="70" t="s">
        <v>190</v>
      </c>
    </row>
    <row r="15" spans="1:4" ht="19.5" x14ac:dyDescent="0.35">
      <c r="A15" s="70" t="s">
        <v>191</v>
      </c>
    </row>
    <row r="16" spans="1:4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ht="19.5" x14ac:dyDescent="0.35">
      <c r="A27" s="72" t="s">
        <v>195</v>
      </c>
    </row>
    <row r="28" spans="1:1" ht="13.5" x14ac:dyDescent="0.25">
      <c r="A28" s="73" t="s">
        <v>192</v>
      </c>
    </row>
    <row r="29" spans="1:1" ht="13.5" x14ac:dyDescent="0.25">
      <c r="A29" s="73" t="s">
        <v>193</v>
      </c>
    </row>
    <row r="30" spans="1:1" ht="13.5" x14ac:dyDescent="0.25">
      <c r="A30" s="73" t="s">
        <v>194</v>
      </c>
    </row>
  </sheetData>
  <hyperlinks>
    <hyperlink ref="D10" location="Pivot!A1" display="Pivot" xr:uid="{00000000-0004-0000-0000-000000000000}"/>
    <hyperlink ref="D9" location="'Table 2'!A1" display="Table 2" xr:uid="{00000000-0004-0000-0000-000001000000}"/>
    <hyperlink ref="D8" location="'Table 1'!A1" display="Table 1" xr:uid="{00000000-0004-0000-0000-000002000000}"/>
  </hyperlinks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/>
  </sheetPr>
  <dimension ref="A1:D419"/>
  <sheetViews>
    <sheetView showGridLines="0" workbookViewId="0">
      <pane ySplit="3" topLeftCell="A400" activePane="bottomLeft" state="frozen"/>
      <selection pane="bottomLeft" activeCell="C398" sqref="C398"/>
    </sheetView>
  </sheetViews>
  <sheetFormatPr defaultColWidth="9.09765625" defaultRowHeight="12.5" x14ac:dyDescent="0.2"/>
  <cols>
    <col min="1" max="1" width="3" style="18" customWidth="1"/>
    <col min="2" max="2" width="27" style="18" customWidth="1"/>
    <col min="3" max="3" width="17.3984375" style="18" customWidth="1"/>
    <col min="4" max="4" width="18.3984375" style="38" customWidth="1"/>
    <col min="5" max="16384" width="9.09765625" style="18"/>
  </cols>
  <sheetData>
    <row r="1" spans="1:4" ht="32.5" x14ac:dyDescent="0.2">
      <c r="A1" s="1" t="s">
        <v>178</v>
      </c>
    </row>
    <row r="3" spans="1:4" ht="13" x14ac:dyDescent="0.2">
      <c r="B3" s="6" t="s">
        <v>0</v>
      </c>
      <c r="C3" s="7" t="s">
        <v>4</v>
      </c>
      <c r="D3" s="39" t="s">
        <v>3</v>
      </c>
    </row>
    <row r="4" spans="1:4" x14ac:dyDescent="0.2">
      <c r="B4" s="10" t="s">
        <v>6</v>
      </c>
      <c r="C4" s="11" t="s">
        <v>2</v>
      </c>
      <c r="D4" s="40">
        <v>723.35</v>
      </c>
    </row>
    <row r="5" spans="1:4" x14ac:dyDescent="0.2">
      <c r="B5" s="10" t="s">
        <v>6</v>
      </c>
      <c r="C5" s="11" t="s">
        <v>2</v>
      </c>
      <c r="D5" s="40">
        <v>398.32</v>
      </c>
    </row>
    <row r="6" spans="1:4" x14ac:dyDescent="0.2">
      <c r="B6" s="10" t="s">
        <v>14</v>
      </c>
      <c r="C6" s="11" t="s">
        <v>1</v>
      </c>
      <c r="D6" s="40">
        <v>46.18</v>
      </c>
    </row>
    <row r="7" spans="1:4" x14ac:dyDescent="0.2">
      <c r="B7" s="10" t="s">
        <v>12</v>
      </c>
      <c r="C7" s="11" t="s">
        <v>1</v>
      </c>
      <c r="D7" s="40">
        <v>266.08</v>
      </c>
    </row>
    <row r="8" spans="1:4" x14ac:dyDescent="0.2">
      <c r="B8" s="10" t="s">
        <v>14</v>
      </c>
      <c r="C8" s="11" t="s">
        <v>1</v>
      </c>
      <c r="D8" s="40">
        <v>996.91</v>
      </c>
    </row>
    <row r="9" spans="1:4" x14ac:dyDescent="0.2">
      <c r="B9" s="10" t="s">
        <v>11</v>
      </c>
      <c r="C9" s="11" t="s">
        <v>1</v>
      </c>
      <c r="D9" s="40">
        <v>653.66999999999996</v>
      </c>
    </row>
    <row r="10" spans="1:4" x14ac:dyDescent="0.2">
      <c r="B10" s="10" t="s">
        <v>12</v>
      </c>
      <c r="C10" s="11" t="s">
        <v>1</v>
      </c>
      <c r="D10" s="40">
        <v>146.16</v>
      </c>
    </row>
    <row r="11" spans="1:4" x14ac:dyDescent="0.2">
      <c r="B11" s="10" t="s">
        <v>11</v>
      </c>
      <c r="C11" s="11" t="s">
        <v>1</v>
      </c>
      <c r="D11" s="40">
        <v>708.75</v>
      </c>
    </row>
    <row r="12" spans="1:4" x14ac:dyDescent="0.2">
      <c r="B12" s="10" t="s">
        <v>14</v>
      </c>
      <c r="C12" s="11" t="s">
        <v>1</v>
      </c>
      <c r="D12" s="40">
        <v>708.66</v>
      </c>
    </row>
    <row r="13" spans="1:4" x14ac:dyDescent="0.2">
      <c r="B13" s="10" t="s">
        <v>15</v>
      </c>
      <c r="C13" s="11" t="s">
        <v>1</v>
      </c>
      <c r="D13" s="40">
        <v>880.06</v>
      </c>
    </row>
    <row r="14" spans="1:4" x14ac:dyDescent="0.2">
      <c r="B14" s="10" t="s">
        <v>15</v>
      </c>
      <c r="C14" s="11" t="s">
        <v>1</v>
      </c>
      <c r="D14" s="40">
        <v>669.29</v>
      </c>
    </row>
    <row r="15" spans="1:4" x14ac:dyDescent="0.2">
      <c r="B15" s="10" t="s">
        <v>13</v>
      </c>
      <c r="C15" s="11" t="s">
        <v>2</v>
      </c>
      <c r="D15" s="40">
        <v>851.56</v>
      </c>
    </row>
    <row r="16" spans="1:4" x14ac:dyDescent="0.2">
      <c r="B16" s="10" t="s">
        <v>14</v>
      </c>
      <c r="C16" s="11" t="s">
        <v>1</v>
      </c>
      <c r="D16" s="40">
        <v>410.61</v>
      </c>
    </row>
    <row r="17" spans="2:4" x14ac:dyDescent="0.2">
      <c r="B17" s="10" t="s">
        <v>6</v>
      </c>
      <c r="C17" s="11" t="s">
        <v>2</v>
      </c>
      <c r="D17" s="40">
        <v>58.29</v>
      </c>
    </row>
    <row r="18" spans="2:4" x14ac:dyDescent="0.2">
      <c r="B18" s="10" t="s">
        <v>14</v>
      </c>
      <c r="C18" s="11" t="s">
        <v>1</v>
      </c>
      <c r="D18" s="40">
        <v>427.53</v>
      </c>
    </row>
    <row r="19" spans="2:4" x14ac:dyDescent="0.2">
      <c r="B19" s="10" t="s">
        <v>12</v>
      </c>
      <c r="C19" s="11" t="s">
        <v>1</v>
      </c>
      <c r="D19" s="40">
        <v>881.12</v>
      </c>
    </row>
    <row r="20" spans="2:4" x14ac:dyDescent="0.2">
      <c r="B20" s="10" t="s">
        <v>15</v>
      </c>
      <c r="C20" s="11" t="s">
        <v>1</v>
      </c>
      <c r="D20" s="40">
        <v>418.98</v>
      </c>
    </row>
    <row r="21" spans="2:4" x14ac:dyDescent="0.2">
      <c r="B21" s="10" t="s">
        <v>14</v>
      </c>
      <c r="C21" s="11" t="s">
        <v>1</v>
      </c>
      <c r="D21" s="40">
        <v>291.32</v>
      </c>
    </row>
    <row r="22" spans="2:4" x14ac:dyDescent="0.2">
      <c r="B22" s="10" t="s">
        <v>6</v>
      </c>
      <c r="C22" s="11" t="s">
        <v>2</v>
      </c>
      <c r="D22" s="40">
        <v>887.33</v>
      </c>
    </row>
    <row r="23" spans="2:4" x14ac:dyDescent="0.2">
      <c r="B23" s="10" t="s">
        <v>7</v>
      </c>
      <c r="C23" s="11" t="s">
        <v>1</v>
      </c>
      <c r="D23" s="40">
        <v>560.66</v>
      </c>
    </row>
    <row r="24" spans="2:4" x14ac:dyDescent="0.2">
      <c r="B24" s="10" t="s">
        <v>8</v>
      </c>
      <c r="C24" s="11" t="s">
        <v>2</v>
      </c>
      <c r="D24" s="40">
        <v>492.33</v>
      </c>
    </row>
    <row r="25" spans="2:4" x14ac:dyDescent="0.2">
      <c r="B25" s="10" t="s">
        <v>15</v>
      </c>
      <c r="C25" s="11" t="s">
        <v>1</v>
      </c>
      <c r="D25" s="40">
        <v>311.10000000000002</v>
      </c>
    </row>
    <row r="26" spans="2:4" x14ac:dyDescent="0.2">
      <c r="B26" s="10" t="s">
        <v>12</v>
      </c>
      <c r="C26" s="11" t="s">
        <v>1</v>
      </c>
      <c r="D26" s="40">
        <v>395.82</v>
      </c>
    </row>
    <row r="27" spans="2:4" x14ac:dyDescent="0.2">
      <c r="B27" s="10" t="s">
        <v>7</v>
      </c>
      <c r="C27" s="11" t="s">
        <v>1</v>
      </c>
      <c r="D27" s="40">
        <v>0.77</v>
      </c>
    </row>
    <row r="28" spans="2:4" x14ac:dyDescent="0.2">
      <c r="B28" s="10" t="s">
        <v>10</v>
      </c>
      <c r="C28" s="11" t="s">
        <v>2</v>
      </c>
      <c r="D28" s="40">
        <v>59.41</v>
      </c>
    </row>
    <row r="29" spans="2:4" x14ac:dyDescent="0.2">
      <c r="B29" s="10" t="s">
        <v>14</v>
      </c>
      <c r="C29" s="11" t="s">
        <v>1</v>
      </c>
      <c r="D29" s="40">
        <v>87.67</v>
      </c>
    </row>
    <row r="30" spans="2:4" x14ac:dyDescent="0.2">
      <c r="B30" s="10" t="s">
        <v>8</v>
      </c>
      <c r="C30" s="11" t="s">
        <v>2</v>
      </c>
      <c r="D30" s="40">
        <v>241.14</v>
      </c>
    </row>
    <row r="31" spans="2:4" x14ac:dyDescent="0.2">
      <c r="B31" s="10" t="s">
        <v>14</v>
      </c>
      <c r="C31" s="11" t="s">
        <v>1</v>
      </c>
      <c r="D31" s="40">
        <v>780.47</v>
      </c>
    </row>
    <row r="32" spans="2:4" x14ac:dyDescent="0.2">
      <c r="B32" s="10" t="s">
        <v>10</v>
      </c>
      <c r="C32" s="11" t="s">
        <v>2</v>
      </c>
      <c r="D32" s="40">
        <v>733.63</v>
      </c>
    </row>
    <row r="33" spans="2:4" x14ac:dyDescent="0.2">
      <c r="B33" s="10" t="s">
        <v>12</v>
      </c>
      <c r="C33" s="11" t="s">
        <v>1</v>
      </c>
      <c r="D33" s="40">
        <v>139.76</v>
      </c>
    </row>
    <row r="34" spans="2:4" x14ac:dyDescent="0.2">
      <c r="B34" s="10" t="s">
        <v>14</v>
      </c>
      <c r="C34" s="11" t="s">
        <v>1</v>
      </c>
      <c r="D34" s="40">
        <v>618.87</v>
      </c>
    </row>
    <row r="35" spans="2:4" x14ac:dyDescent="0.2">
      <c r="B35" s="10" t="s">
        <v>9</v>
      </c>
      <c r="C35" s="11" t="s">
        <v>2</v>
      </c>
      <c r="D35" s="40">
        <v>494</v>
      </c>
    </row>
    <row r="36" spans="2:4" x14ac:dyDescent="0.2">
      <c r="B36" s="10" t="s">
        <v>14</v>
      </c>
      <c r="C36" s="11" t="s">
        <v>1</v>
      </c>
      <c r="D36" s="40">
        <v>58.64</v>
      </c>
    </row>
    <row r="37" spans="2:4" x14ac:dyDescent="0.2">
      <c r="B37" s="10" t="s">
        <v>10</v>
      </c>
      <c r="C37" s="11" t="s">
        <v>2</v>
      </c>
      <c r="D37" s="40">
        <v>548.16999999999996</v>
      </c>
    </row>
    <row r="38" spans="2:4" x14ac:dyDescent="0.2">
      <c r="B38" s="10" t="s">
        <v>14</v>
      </c>
      <c r="C38" s="11" t="s">
        <v>1</v>
      </c>
      <c r="D38" s="40">
        <v>165.8</v>
      </c>
    </row>
    <row r="39" spans="2:4" x14ac:dyDescent="0.2">
      <c r="B39" s="10" t="s">
        <v>9</v>
      </c>
      <c r="C39" s="11" t="s">
        <v>2</v>
      </c>
      <c r="D39" s="40">
        <v>260.70999999999998</v>
      </c>
    </row>
    <row r="40" spans="2:4" x14ac:dyDescent="0.2">
      <c r="B40" s="10" t="s">
        <v>11</v>
      </c>
      <c r="C40" s="11" t="s">
        <v>1</v>
      </c>
      <c r="D40" s="40">
        <v>598.29999999999995</v>
      </c>
    </row>
    <row r="41" spans="2:4" x14ac:dyDescent="0.2">
      <c r="B41" s="10" t="s">
        <v>10</v>
      </c>
      <c r="C41" s="11" t="s">
        <v>2</v>
      </c>
      <c r="D41" s="40">
        <v>681.85</v>
      </c>
    </row>
    <row r="42" spans="2:4" x14ac:dyDescent="0.2">
      <c r="B42" s="10" t="s">
        <v>6</v>
      </c>
      <c r="C42" s="11" t="s">
        <v>2</v>
      </c>
      <c r="D42" s="40">
        <v>235.04</v>
      </c>
    </row>
    <row r="43" spans="2:4" x14ac:dyDescent="0.2">
      <c r="B43" s="10" t="s">
        <v>8</v>
      </c>
      <c r="C43" s="11" t="s">
        <v>2</v>
      </c>
      <c r="D43" s="40">
        <v>965.05</v>
      </c>
    </row>
    <row r="44" spans="2:4" x14ac:dyDescent="0.2">
      <c r="B44" s="10" t="s">
        <v>14</v>
      </c>
      <c r="C44" s="11" t="s">
        <v>1</v>
      </c>
      <c r="D44" s="40">
        <v>351.75</v>
      </c>
    </row>
    <row r="45" spans="2:4" x14ac:dyDescent="0.2">
      <c r="B45" s="10" t="s">
        <v>14</v>
      </c>
      <c r="C45" s="11" t="s">
        <v>1</v>
      </c>
      <c r="D45" s="40">
        <v>570.17999999999995</v>
      </c>
    </row>
    <row r="46" spans="2:4" x14ac:dyDescent="0.2">
      <c r="B46" s="10" t="s">
        <v>6</v>
      </c>
      <c r="C46" s="11" t="s">
        <v>2</v>
      </c>
      <c r="D46" s="40">
        <v>301.92</v>
      </c>
    </row>
    <row r="47" spans="2:4" x14ac:dyDescent="0.2">
      <c r="B47" s="10" t="s">
        <v>14</v>
      </c>
      <c r="C47" s="11" t="s">
        <v>1</v>
      </c>
      <c r="D47" s="40">
        <v>834.8</v>
      </c>
    </row>
    <row r="48" spans="2:4" x14ac:dyDescent="0.2">
      <c r="B48" s="10" t="s">
        <v>15</v>
      </c>
      <c r="C48" s="11" t="s">
        <v>1</v>
      </c>
      <c r="D48" s="40">
        <v>455.49</v>
      </c>
    </row>
    <row r="49" spans="2:4" x14ac:dyDescent="0.2">
      <c r="B49" s="10" t="s">
        <v>15</v>
      </c>
      <c r="C49" s="11" t="s">
        <v>1</v>
      </c>
      <c r="D49" s="40">
        <v>228.46</v>
      </c>
    </row>
    <row r="50" spans="2:4" x14ac:dyDescent="0.2">
      <c r="B50" s="10" t="s">
        <v>11</v>
      </c>
      <c r="C50" s="11" t="s">
        <v>1</v>
      </c>
      <c r="D50" s="40">
        <v>157.69999999999999</v>
      </c>
    </row>
    <row r="51" spans="2:4" x14ac:dyDescent="0.2">
      <c r="B51" s="10" t="s">
        <v>11</v>
      </c>
      <c r="C51" s="11" t="s">
        <v>1</v>
      </c>
      <c r="D51" s="40">
        <v>334.33</v>
      </c>
    </row>
    <row r="52" spans="2:4" x14ac:dyDescent="0.2">
      <c r="B52" s="10" t="s">
        <v>8</v>
      </c>
      <c r="C52" s="11" t="s">
        <v>2</v>
      </c>
      <c r="D52" s="40">
        <v>462.39</v>
      </c>
    </row>
    <row r="53" spans="2:4" x14ac:dyDescent="0.2">
      <c r="B53" s="10" t="s">
        <v>12</v>
      </c>
      <c r="C53" s="11" t="s">
        <v>1</v>
      </c>
      <c r="D53" s="40">
        <v>544.19000000000005</v>
      </c>
    </row>
    <row r="54" spans="2:4" x14ac:dyDescent="0.2">
      <c r="B54" s="10" t="s">
        <v>8</v>
      </c>
      <c r="C54" s="11" t="s">
        <v>2</v>
      </c>
      <c r="D54" s="40">
        <v>842.7</v>
      </c>
    </row>
    <row r="55" spans="2:4" x14ac:dyDescent="0.2">
      <c r="B55" s="10" t="s">
        <v>15</v>
      </c>
      <c r="C55" s="11" t="s">
        <v>1</v>
      </c>
      <c r="D55" s="40">
        <v>429.14</v>
      </c>
    </row>
    <row r="56" spans="2:4" x14ac:dyDescent="0.2">
      <c r="B56" s="10" t="s">
        <v>14</v>
      </c>
      <c r="C56" s="11" t="s">
        <v>1</v>
      </c>
      <c r="D56" s="40">
        <v>965.23</v>
      </c>
    </row>
    <row r="57" spans="2:4" x14ac:dyDescent="0.2">
      <c r="B57" s="10" t="s">
        <v>7</v>
      </c>
      <c r="C57" s="11" t="s">
        <v>1</v>
      </c>
      <c r="D57" s="40">
        <v>87.48</v>
      </c>
    </row>
    <row r="58" spans="2:4" x14ac:dyDescent="0.2">
      <c r="B58" s="10" t="s">
        <v>7</v>
      </c>
      <c r="C58" s="11" t="s">
        <v>1</v>
      </c>
      <c r="D58" s="40">
        <v>847.8</v>
      </c>
    </row>
    <row r="59" spans="2:4" x14ac:dyDescent="0.2">
      <c r="B59" s="10" t="s">
        <v>15</v>
      </c>
      <c r="C59" s="11" t="s">
        <v>1</v>
      </c>
      <c r="D59" s="40">
        <v>281.69</v>
      </c>
    </row>
    <row r="60" spans="2:4" x14ac:dyDescent="0.2">
      <c r="B60" s="10" t="s">
        <v>15</v>
      </c>
      <c r="C60" s="11" t="s">
        <v>1</v>
      </c>
      <c r="D60" s="40">
        <v>814.69</v>
      </c>
    </row>
    <row r="61" spans="2:4" x14ac:dyDescent="0.2">
      <c r="B61" s="10" t="s">
        <v>14</v>
      </c>
      <c r="C61" s="11" t="s">
        <v>1</v>
      </c>
      <c r="D61" s="40">
        <v>789.6</v>
      </c>
    </row>
    <row r="62" spans="2:4" x14ac:dyDescent="0.2">
      <c r="B62" s="10" t="s">
        <v>6</v>
      </c>
      <c r="C62" s="11" t="s">
        <v>2</v>
      </c>
      <c r="D62" s="40">
        <v>309.64</v>
      </c>
    </row>
    <row r="63" spans="2:4" x14ac:dyDescent="0.2">
      <c r="B63" s="10" t="s">
        <v>12</v>
      </c>
      <c r="C63" s="11" t="s">
        <v>1</v>
      </c>
      <c r="D63" s="40">
        <v>737.66</v>
      </c>
    </row>
    <row r="64" spans="2:4" x14ac:dyDescent="0.2">
      <c r="B64" s="10" t="s">
        <v>7</v>
      </c>
      <c r="C64" s="11" t="s">
        <v>1</v>
      </c>
      <c r="D64" s="40">
        <v>717.65</v>
      </c>
    </row>
    <row r="65" spans="2:4" x14ac:dyDescent="0.2">
      <c r="B65" s="10" t="s">
        <v>14</v>
      </c>
      <c r="C65" s="11" t="s">
        <v>1</v>
      </c>
      <c r="D65" s="40">
        <v>362.92</v>
      </c>
    </row>
    <row r="66" spans="2:4" x14ac:dyDescent="0.2">
      <c r="B66" s="10" t="s">
        <v>7</v>
      </c>
      <c r="C66" s="11" t="s">
        <v>1</v>
      </c>
      <c r="D66" s="40">
        <v>638.34</v>
      </c>
    </row>
    <row r="67" spans="2:4" x14ac:dyDescent="0.2">
      <c r="B67" s="10" t="s">
        <v>9</v>
      </c>
      <c r="C67" s="11" t="s">
        <v>2</v>
      </c>
      <c r="D67" s="40">
        <v>746.2</v>
      </c>
    </row>
    <row r="68" spans="2:4" x14ac:dyDescent="0.2">
      <c r="B68" s="10" t="s">
        <v>9</v>
      </c>
      <c r="C68" s="11" t="s">
        <v>2</v>
      </c>
      <c r="D68" s="40">
        <v>451.85</v>
      </c>
    </row>
    <row r="69" spans="2:4" x14ac:dyDescent="0.2">
      <c r="B69" s="10" t="s">
        <v>12</v>
      </c>
      <c r="C69" s="11" t="s">
        <v>1</v>
      </c>
      <c r="D69" s="40">
        <v>684.19</v>
      </c>
    </row>
    <row r="70" spans="2:4" x14ac:dyDescent="0.2">
      <c r="B70" s="10" t="s">
        <v>11</v>
      </c>
      <c r="C70" s="11" t="s">
        <v>1</v>
      </c>
      <c r="D70" s="40">
        <v>514.55999999999995</v>
      </c>
    </row>
    <row r="71" spans="2:4" x14ac:dyDescent="0.2">
      <c r="B71" s="10" t="s">
        <v>6</v>
      </c>
      <c r="C71" s="11" t="s">
        <v>2</v>
      </c>
      <c r="D71" s="40">
        <v>670.17</v>
      </c>
    </row>
    <row r="72" spans="2:4" x14ac:dyDescent="0.2">
      <c r="B72" s="10" t="s">
        <v>15</v>
      </c>
      <c r="C72" s="11" t="s">
        <v>1</v>
      </c>
      <c r="D72" s="40">
        <v>296.45</v>
      </c>
    </row>
    <row r="73" spans="2:4" x14ac:dyDescent="0.2">
      <c r="B73" s="10" t="s">
        <v>15</v>
      </c>
      <c r="C73" s="11" t="s">
        <v>1</v>
      </c>
      <c r="D73" s="40">
        <v>696.98</v>
      </c>
    </row>
    <row r="74" spans="2:4" x14ac:dyDescent="0.2">
      <c r="B74" s="10" t="s">
        <v>10</v>
      </c>
      <c r="C74" s="11" t="s">
        <v>2</v>
      </c>
      <c r="D74" s="40">
        <v>74.14</v>
      </c>
    </row>
    <row r="75" spans="2:4" x14ac:dyDescent="0.2">
      <c r="B75" s="10" t="s">
        <v>13</v>
      </c>
      <c r="C75" s="11" t="s">
        <v>2</v>
      </c>
      <c r="D75" s="40">
        <v>753.27</v>
      </c>
    </row>
    <row r="76" spans="2:4" x14ac:dyDescent="0.2">
      <c r="B76" s="10" t="s">
        <v>8</v>
      </c>
      <c r="C76" s="11" t="s">
        <v>2</v>
      </c>
      <c r="D76" s="40">
        <v>341.7</v>
      </c>
    </row>
    <row r="77" spans="2:4" x14ac:dyDescent="0.2">
      <c r="B77" s="10" t="s">
        <v>11</v>
      </c>
      <c r="C77" s="11" t="s">
        <v>1</v>
      </c>
      <c r="D77" s="40">
        <v>524.39</v>
      </c>
    </row>
    <row r="78" spans="2:4" x14ac:dyDescent="0.2">
      <c r="B78" s="10" t="s">
        <v>8</v>
      </c>
      <c r="C78" s="11" t="s">
        <v>2</v>
      </c>
      <c r="D78" s="40">
        <v>922.72</v>
      </c>
    </row>
    <row r="79" spans="2:4" x14ac:dyDescent="0.2">
      <c r="B79" s="10" t="s">
        <v>8</v>
      </c>
      <c r="C79" s="11" t="s">
        <v>2</v>
      </c>
      <c r="D79" s="40">
        <v>631.80999999999995</v>
      </c>
    </row>
    <row r="80" spans="2:4" x14ac:dyDescent="0.2">
      <c r="B80" s="10" t="s">
        <v>12</v>
      </c>
      <c r="C80" s="11" t="s">
        <v>1</v>
      </c>
      <c r="D80" s="40">
        <v>903.18</v>
      </c>
    </row>
    <row r="81" spans="2:4" x14ac:dyDescent="0.2">
      <c r="B81" s="10" t="s">
        <v>15</v>
      </c>
      <c r="C81" s="11" t="s">
        <v>1</v>
      </c>
      <c r="D81" s="40">
        <v>434.58</v>
      </c>
    </row>
    <row r="82" spans="2:4" x14ac:dyDescent="0.2">
      <c r="B82" s="10" t="s">
        <v>11</v>
      </c>
      <c r="C82" s="11" t="s">
        <v>1</v>
      </c>
      <c r="D82" s="40">
        <v>673.18</v>
      </c>
    </row>
    <row r="83" spans="2:4" x14ac:dyDescent="0.2">
      <c r="B83" s="10" t="s">
        <v>12</v>
      </c>
      <c r="C83" s="11" t="s">
        <v>1</v>
      </c>
      <c r="D83" s="40">
        <v>188.38</v>
      </c>
    </row>
    <row r="84" spans="2:4" x14ac:dyDescent="0.2">
      <c r="B84" s="10" t="s">
        <v>14</v>
      </c>
      <c r="C84" s="11" t="s">
        <v>1</v>
      </c>
      <c r="D84" s="40">
        <v>844.88</v>
      </c>
    </row>
    <row r="85" spans="2:4" x14ac:dyDescent="0.2">
      <c r="B85" s="10" t="s">
        <v>15</v>
      </c>
      <c r="C85" s="11" t="s">
        <v>1</v>
      </c>
      <c r="D85" s="40">
        <v>257.25</v>
      </c>
    </row>
    <row r="86" spans="2:4" x14ac:dyDescent="0.2">
      <c r="B86" s="10" t="s">
        <v>14</v>
      </c>
      <c r="C86" s="11" t="s">
        <v>1</v>
      </c>
      <c r="D86" s="40">
        <v>478.97</v>
      </c>
    </row>
    <row r="87" spans="2:4" x14ac:dyDescent="0.2">
      <c r="B87" s="10" t="s">
        <v>15</v>
      </c>
      <c r="C87" s="11" t="s">
        <v>1</v>
      </c>
      <c r="D87" s="40">
        <v>41.98</v>
      </c>
    </row>
    <row r="88" spans="2:4" x14ac:dyDescent="0.2">
      <c r="B88" s="10" t="s">
        <v>10</v>
      </c>
      <c r="C88" s="11" t="s">
        <v>2</v>
      </c>
      <c r="D88" s="40">
        <v>601.91999999999996</v>
      </c>
    </row>
    <row r="89" spans="2:4" x14ac:dyDescent="0.2">
      <c r="B89" s="10" t="s">
        <v>12</v>
      </c>
      <c r="C89" s="11" t="s">
        <v>1</v>
      </c>
      <c r="D89" s="40">
        <v>625.91999999999996</v>
      </c>
    </row>
    <row r="90" spans="2:4" x14ac:dyDescent="0.2">
      <c r="B90" s="10" t="s">
        <v>11</v>
      </c>
      <c r="C90" s="11" t="s">
        <v>1</v>
      </c>
      <c r="D90" s="40">
        <v>681.16</v>
      </c>
    </row>
    <row r="91" spans="2:4" x14ac:dyDescent="0.2">
      <c r="B91" s="10" t="s">
        <v>12</v>
      </c>
      <c r="C91" s="11" t="s">
        <v>1</v>
      </c>
      <c r="D91" s="40">
        <v>83.76</v>
      </c>
    </row>
    <row r="92" spans="2:4" x14ac:dyDescent="0.2">
      <c r="B92" s="10" t="s">
        <v>6</v>
      </c>
      <c r="C92" s="11" t="s">
        <v>2</v>
      </c>
      <c r="D92" s="40">
        <v>466.95</v>
      </c>
    </row>
    <row r="93" spans="2:4" x14ac:dyDescent="0.2">
      <c r="B93" s="10" t="s">
        <v>7</v>
      </c>
      <c r="C93" s="11" t="s">
        <v>1</v>
      </c>
      <c r="D93" s="40">
        <v>954.53</v>
      </c>
    </row>
    <row r="94" spans="2:4" x14ac:dyDescent="0.2">
      <c r="B94" s="10" t="s">
        <v>15</v>
      </c>
      <c r="C94" s="11" t="s">
        <v>1</v>
      </c>
      <c r="D94" s="40">
        <v>906.4</v>
      </c>
    </row>
    <row r="95" spans="2:4" x14ac:dyDescent="0.2">
      <c r="B95" s="10" t="s">
        <v>12</v>
      </c>
      <c r="C95" s="11" t="s">
        <v>1</v>
      </c>
      <c r="D95" s="40">
        <v>449.83</v>
      </c>
    </row>
    <row r="96" spans="2:4" x14ac:dyDescent="0.2">
      <c r="B96" s="10" t="s">
        <v>8</v>
      </c>
      <c r="C96" s="11" t="s">
        <v>2</v>
      </c>
      <c r="D96" s="40">
        <v>753.39</v>
      </c>
    </row>
    <row r="97" spans="2:4" x14ac:dyDescent="0.2">
      <c r="B97" s="10" t="s">
        <v>12</v>
      </c>
      <c r="C97" s="11" t="s">
        <v>1</v>
      </c>
      <c r="D97" s="40">
        <v>812.84</v>
      </c>
    </row>
    <row r="98" spans="2:4" x14ac:dyDescent="0.2">
      <c r="B98" s="10" t="s">
        <v>9</v>
      </c>
      <c r="C98" s="11" t="s">
        <v>2</v>
      </c>
      <c r="D98" s="40">
        <v>676.29</v>
      </c>
    </row>
    <row r="99" spans="2:4" x14ac:dyDescent="0.2">
      <c r="B99" s="10" t="s">
        <v>15</v>
      </c>
      <c r="C99" s="11" t="s">
        <v>1</v>
      </c>
      <c r="D99" s="40">
        <v>584.39</v>
      </c>
    </row>
    <row r="100" spans="2:4" x14ac:dyDescent="0.2">
      <c r="B100" s="10" t="s">
        <v>11</v>
      </c>
      <c r="C100" s="11" t="s">
        <v>1</v>
      </c>
      <c r="D100" s="40">
        <v>458.14</v>
      </c>
    </row>
    <row r="101" spans="2:4" x14ac:dyDescent="0.2">
      <c r="B101" s="10" t="s">
        <v>11</v>
      </c>
      <c r="C101" s="11" t="s">
        <v>1</v>
      </c>
      <c r="D101" s="40">
        <v>874.81</v>
      </c>
    </row>
    <row r="102" spans="2:4" x14ac:dyDescent="0.2">
      <c r="B102" s="10" t="s">
        <v>8</v>
      </c>
      <c r="C102" s="11" t="s">
        <v>2</v>
      </c>
      <c r="D102" s="40">
        <v>91.48</v>
      </c>
    </row>
    <row r="103" spans="2:4" x14ac:dyDescent="0.2">
      <c r="B103" s="10" t="s">
        <v>12</v>
      </c>
      <c r="C103" s="11" t="s">
        <v>1</v>
      </c>
      <c r="D103" s="40">
        <v>282.93</v>
      </c>
    </row>
    <row r="104" spans="2:4" x14ac:dyDescent="0.2">
      <c r="B104" s="10" t="s">
        <v>12</v>
      </c>
      <c r="C104" s="11" t="s">
        <v>1</v>
      </c>
      <c r="D104" s="40">
        <v>389.36</v>
      </c>
    </row>
    <row r="105" spans="2:4" x14ac:dyDescent="0.2">
      <c r="B105" s="10" t="s">
        <v>9</v>
      </c>
      <c r="C105" s="11" t="s">
        <v>2</v>
      </c>
      <c r="D105" s="40">
        <v>212.99</v>
      </c>
    </row>
    <row r="106" spans="2:4" x14ac:dyDescent="0.2">
      <c r="B106" s="10" t="s">
        <v>12</v>
      </c>
      <c r="C106" s="11" t="s">
        <v>1</v>
      </c>
      <c r="D106" s="40">
        <v>0.42</v>
      </c>
    </row>
    <row r="107" spans="2:4" x14ac:dyDescent="0.2">
      <c r="B107" s="10" t="s">
        <v>6</v>
      </c>
      <c r="C107" s="11" t="s">
        <v>2</v>
      </c>
      <c r="D107" s="40">
        <v>126.6</v>
      </c>
    </row>
    <row r="108" spans="2:4" x14ac:dyDescent="0.2">
      <c r="B108" s="10" t="s">
        <v>15</v>
      </c>
      <c r="C108" s="11" t="s">
        <v>1</v>
      </c>
      <c r="D108" s="40">
        <v>91.72</v>
      </c>
    </row>
    <row r="109" spans="2:4" x14ac:dyDescent="0.2">
      <c r="B109" s="10" t="s">
        <v>15</v>
      </c>
      <c r="C109" s="11" t="s">
        <v>1</v>
      </c>
      <c r="D109" s="40">
        <v>8.7899999999999991</v>
      </c>
    </row>
    <row r="110" spans="2:4" x14ac:dyDescent="0.2">
      <c r="B110" s="10" t="s">
        <v>14</v>
      </c>
      <c r="C110" s="11" t="s">
        <v>1</v>
      </c>
      <c r="D110" s="40">
        <v>301.07</v>
      </c>
    </row>
    <row r="111" spans="2:4" x14ac:dyDescent="0.2">
      <c r="B111" s="10" t="s">
        <v>15</v>
      </c>
      <c r="C111" s="11" t="s">
        <v>1</v>
      </c>
      <c r="D111" s="40">
        <v>210.84</v>
      </c>
    </row>
    <row r="112" spans="2:4" x14ac:dyDescent="0.2">
      <c r="B112" s="10" t="s">
        <v>7</v>
      </c>
      <c r="C112" s="11" t="s">
        <v>1</v>
      </c>
      <c r="D112" s="40">
        <v>835.12</v>
      </c>
    </row>
    <row r="113" spans="2:4" x14ac:dyDescent="0.2">
      <c r="B113" s="10" t="s">
        <v>10</v>
      </c>
      <c r="C113" s="11" t="s">
        <v>2</v>
      </c>
      <c r="D113" s="40">
        <v>682.73</v>
      </c>
    </row>
    <row r="114" spans="2:4" x14ac:dyDescent="0.2">
      <c r="B114" s="10" t="s">
        <v>12</v>
      </c>
      <c r="C114" s="11" t="s">
        <v>1</v>
      </c>
      <c r="D114" s="40">
        <v>760.34</v>
      </c>
    </row>
    <row r="115" spans="2:4" x14ac:dyDescent="0.2">
      <c r="B115" s="10" t="s">
        <v>12</v>
      </c>
      <c r="C115" s="11" t="s">
        <v>1</v>
      </c>
      <c r="D115" s="40">
        <v>403.91</v>
      </c>
    </row>
    <row r="116" spans="2:4" x14ac:dyDescent="0.2">
      <c r="B116" s="10" t="s">
        <v>8</v>
      </c>
      <c r="C116" s="11" t="s">
        <v>2</v>
      </c>
      <c r="D116" s="40">
        <v>146.97</v>
      </c>
    </row>
    <row r="117" spans="2:4" x14ac:dyDescent="0.2">
      <c r="B117" s="10" t="s">
        <v>6</v>
      </c>
      <c r="C117" s="11" t="s">
        <v>2</v>
      </c>
      <c r="D117" s="40">
        <v>862.39</v>
      </c>
    </row>
    <row r="118" spans="2:4" x14ac:dyDescent="0.2">
      <c r="B118" s="10" t="s">
        <v>15</v>
      </c>
      <c r="C118" s="11" t="s">
        <v>1</v>
      </c>
      <c r="D118" s="40">
        <v>943.33</v>
      </c>
    </row>
    <row r="119" spans="2:4" x14ac:dyDescent="0.2">
      <c r="B119" s="10" t="s">
        <v>6</v>
      </c>
      <c r="C119" s="11" t="s">
        <v>2</v>
      </c>
      <c r="D119" s="40">
        <v>556.91</v>
      </c>
    </row>
    <row r="120" spans="2:4" x14ac:dyDescent="0.2">
      <c r="B120" s="10" t="s">
        <v>10</v>
      </c>
      <c r="C120" s="11" t="s">
        <v>2</v>
      </c>
      <c r="D120" s="40">
        <v>110.63</v>
      </c>
    </row>
    <row r="121" spans="2:4" x14ac:dyDescent="0.2">
      <c r="B121" s="10" t="s">
        <v>12</v>
      </c>
      <c r="C121" s="11" t="s">
        <v>1</v>
      </c>
      <c r="D121" s="40">
        <v>898.5</v>
      </c>
    </row>
    <row r="122" spans="2:4" x14ac:dyDescent="0.2">
      <c r="B122" s="10" t="s">
        <v>9</v>
      </c>
      <c r="C122" s="11" t="s">
        <v>2</v>
      </c>
      <c r="D122" s="40">
        <v>811</v>
      </c>
    </row>
    <row r="123" spans="2:4" x14ac:dyDescent="0.2">
      <c r="B123" s="10" t="s">
        <v>12</v>
      </c>
      <c r="C123" s="11" t="s">
        <v>1</v>
      </c>
      <c r="D123" s="40">
        <v>426.39</v>
      </c>
    </row>
    <row r="124" spans="2:4" x14ac:dyDescent="0.2">
      <c r="B124" s="10" t="s">
        <v>11</v>
      </c>
      <c r="C124" s="11" t="s">
        <v>1</v>
      </c>
      <c r="D124" s="40">
        <v>380.03</v>
      </c>
    </row>
    <row r="125" spans="2:4" x14ac:dyDescent="0.2">
      <c r="B125" s="10" t="s">
        <v>10</v>
      </c>
      <c r="C125" s="11" t="s">
        <v>2</v>
      </c>
      <c r="D125" s="40">
        <v>918.03</v>
      </c>
    </row>
    <row r="126" spans="2:4" x14ac:dyDescent="0.2">
      <c r="B126" s="10" t="s">
        <v>8</v>
      </c>
      <c r="C126" s="11" t="s">
        <v>2</v>
      </c>
      <c r="D126" s="40">
        <v>186.53</v>
      </c>
    </row>
    <row r="127" spans="2:4" x14ac:dyDescent="0.2">
      <c r="B127" s="10" t="s">
        <v>10</v>
      </c>
      <c r="C127" s="11" t="s">
        <v>2</v>
      </c>
      <c r="D127" s="40">
        <v>785.16</v>
      </c>
    </row>
    <row r="128" spans="2:4" x14ac:dyDescent="0.2">
      <c r="B128" s="10" t="s">
        <v>15</v>
      </c>
      <c r="C128" s="11" t="s">
        <v>1</v>
      </c>
      <c r="D128" s="40">
        <v>789.88</v>
      </c>
    </row>
    <row r="129" spans="2:4" x14ac:dyDescent="0.2">
      <c r="B129" s="10" t="s">
        <v>12</v>
      </c>
      <c r="C129" s="11" t="s">
        <v>1</v>
      </c>
      <c r="D129" s="40">
        <v>378.17</v>
      </c>
    </row>
    <row r="130" spans="2:4" x14ac:dyDescent="0.2">
      <c r="B130" s="10" t="s">
        <v>14</v>
      </c>
      <c r="C130" s="11" t="s">
        <v>1</v>
      </c>
      <c r="D130" s="40">
        <v>86.65</v>
      </c>
    </row>
    <row r="131" spans="2:4" x14ac:dyDescent="0.2">
      <c r="B131" s="10" t="s">
        <v>10</v>
      </c>
      <c r="C131" s="11" t="s">
        <v>2</v>
      </c>
      <c r="D131" s="40">
        <v>421.53</v>
      </c>
    </row>
    <row r="132" spans="2:4" x14ac:dyDescent="0.2">
      <c r="B132" s="10" t="s">
        <v>8</v>
      </c>
      <c r="C132" s="11" t="s">
        <v>2</v>
      </c>
      <c r="D132" s="40">
        <v>349.58</v>
      </c>
    </row>
    <row r="133" spans="2:4" x14ac:dyDescent="0.2">
      <c r="B133" s="10" t="s">
        <v>8</v>
      </c>
      <c r="C133" s="11" t="s">
        <v>2</v>
      </c>
      <c r="D133" s="40">
        <v>416.87</v>
      </c>
    </row>
    <row r="134" spans="2:4" x14ac:dyDescent="0.2">
      <c r="B134" s="10" t="s">
        <v>11</v>
      </c>
      <c r="C134" s="11" t="s">
        <v>1</v>
      </c>
      <c r="D134" s="40">
        <v>712.8</v>
      </c>
    </row>
    <row r="135" spans="2:4" x14ac:dyDescent="0.2">
      <c r="B135" s="10" t="s">
        <v>12</v>
      </c>
      <c r="C135" s="11" t="s">
        <v>1</v>
      </c>
      <c r="D135" s="40">
        <v>402.13</v>
      </c>
    </row>
    <row r="136" spans="2:4" x14ac:dyDescent="0.2">
      <c r="B136" s="10" t="s">
        <v>14</v>
      </c>
      <c r="C136" s="11" t="s">
        <v>1</v>
      </c>
      <c r="D136" s="40">
        <v>931.52</v>
      </c>
    </row>
    <row r="137" spans="2:4" x14ac:dyDescent="0.2">
      <c r="B137" s="10" t="s">
        <v>12</v>
      </c>
      <c r="C137" s="11" t="s">
        <v>1</v>
      </c>
      <c r="D137" s="40">
        <v>164.86</v>
      </c>
    </row>
    <row r="138" spans="2:4" x14ac:dyDescent="0.2">
      <c r="B138" s="10" t="s">
        <v>7</v>
      </c>
      <c r="C138" s="11" t="s">
        <v>1</v>
      </c>
      <c r="D138" s="40">
        <v>572.91999999999996</v>
      </c>
    </row>
    <row r="139" spans="2:4" x14ac:dyDescent="0.2">
      <c r="B139" s="10" t="s">
        <v>6</v>
      </c>
      <c r="C139" s="11" t="s">
        <v>2</v>
      </c>
      <c r="D139" s="40">
        <v>308.58999999999997</v>
      </c>
    </row>
    <row r="140" spans="2:4" x14ac:dyDescent="0.2">
      <c r="B140" s="10" t="s">
        <v>11</v>
      </c>
      <c r="C140" s="11" t="s">
        <v>1</v>
      </c>
      <c r="D140" s="40">
        <v>105.36</v>
      </c>
    </row>
    <row r="141" spans="2:4" x14ac:dyDescent="0.2">
      <c r="B141" s="10" t="s">
        <v>14</v>
      </c>
      <c r="C141" s="11" t="s">
        <v>1</v>
      </c>
      <c r="D141" s="40">
        <v>191.58</v>
      </c>
    </row>
    <row r="142" spans="2:4" x14ac:dyDescent="0.2">
      <c r="B142" s="10" t="s">
        <v>8</v>
      </c>
      <c r="C142" s="11" t="s">
        <v>2</v>
      </c>
      <c r="D142" s="40">
        <v>676.94</v>
      </c>
    </row>
    <row r="143" spans="2:4" x14ac:dyDescent="0.2">
      <c r="B143" s="10" t="s">
        <v>14</v>
      </c>
      <c r="C143" s="11" t="s">
        <v>1</v>
      </c>
      <c r="D143" s="40">
        <v>780.81</v>
      </c>
    </row>
    <row r="144" spans="2:4" x14ac:dyDescent="0.2">
      <c r="B144" s="10" t="s">
        <v>6</v>
      </c>
      <c r="C144" s="11" t="s">
        <v>2</v>
      </c>
      <c r="D144" s="40">
        <v>205.51</v>
      </c>
    </row>
    <row r="145" spans="2:4" x14ac:dyDescent="0.2">
      <c r="B145" s="10" t="s">
        <v>15</v>
      </c>
      <c r="C145" s="11" t="s">
        <v>1</v>
      </c>
      <c r="D145" s="40">
        <v>978.84</v>
      </c>
    </row>
    <row r="146" spans="2:4" x14ac:dyDescent="0.2">
      <c r="B146" s="10" t="s">
        <v>8</v>
      </c>
      <c r="C146" s="11" t="s">
        <v>2</v>
      </c>
      <c r="D146" s="40">
        <v>1.86</v>
      </c>
    </row>
    <row r="147" spans="2:4" x14ac:dyDescent="0.2">
      <c r="B147" s="10" t="s">
        <v>12</v>
      </c>
      <c r="C147" s="11" t="s">
        <v>1</v>
      </c>
      <c r="D147" s="40">
        <v>692.67</v>
      </c>
    </row>
    <row r="148" spans="2:4" x14ac:dyDescent="0.2">
      <c r="B148" s="10" t="s">
        <v>9</v>
      </c>
      <c r="C148" s="11" t="s">
        <v>2</v>
      </c>
      <c r="D148" s="40">
        <v>854.86</v>
      </c>
    </row>
    <row r="149" spans="2:4" x14ac:dyDescent="0.2">
      <c r="B149" s="10" t="s">
        <v>9</v>
      </c>
      <c r="C149" s="11" t="s">
        <v>2</v>
      </c>
      <c r="D149" s="40">
        <v>879.58</v>
      </c>
    </row>
    <row r="150" spans="2:4" x14ac:dyDescent="0.2">
      <c r="B150" s="10" t="s">
        <v>15</v>
      </c>
      <c r="C150" s="11" t="s">
        <v>1</v>
      </c>
      <c r="D150" s="40">
        <v>365.29</v>
      </c>
    </row>
    <row r="151" spans="2:4" x14ac:dyDescent="0.2">
      <c r="B151" s="10" t="s">
        <v>7</v>
      </c>
      <c r="C151" s="11" t="s">
        <v>1</v>
      </c>
      <c r="D151" s="40">
        <v>839.82</v>
      </c>
    </row>
    <row r="152" spans="2:4" x14ac:dyDescent="0.2">
      <c r="B152" s="10" t="s">
        <v>10</v>
      </c>
      <c r="C152" s="11" t="s">
        <v>2</v>
      </c>
      <c r="D152" s="40">
        <v>410.78</v>
      </c>
    </row>
    <row r="153" spans="2:4" x14ac:dyDescent="0.2">
      <c r="B153" s="10" t="s">
        <v>11</v>
      </c>
      <c r="C153" s="11" t="s">
        <v>1</v>
      </c>
      <c r="D153" s="40">
        <v>535.4</v>
      </c>
    </row>
    <row r="154" spans="2:4" x14ac:dyDescent="0.2">
      <c r="B154" s="10" t="s">
        <v>13</v>
      </c>
      <c r="C154" s="11" t="s">
        <v>2</v>
      </c>
      <c r="D154" s="40">
        <v>682.27</v>
      </c>
    </row>
    <row r="155" spans="2:4" x14ac:dyDescent="0.2">
      <c r="B155" s="10" t="s">
        <v>6</v>
      </c>
      <c r="C155" s="11" t="s">
        <v>2</v>
      </c>
      <c r="D155" s="40">
        <v>859.84</v>
      </c>
    </row>
    <row r="156" spans="2:4" x14ac:dyDescent="0.2">
      <c r="B156" s="10" t="s">
        <v>11</v>
      </c>
      <c r="C156" s="11" t="s">
        <v>1</v>
      </c>
      <c r="D156" s="40">
        <v>639.25</v>
      </c>
    </row>
    <row r="157" spans="2:4" x14ac:dyDescent="0.2">
      <c r="B157" s="10" t="s">
        <v>7</v>
      </c>
      <c r="C157" s="11" t="s">
        <v>1</v>
      </c>
      <c r="D157" s="40">
        <v>126.39</v>
      </c>
    </row>
    <row r="158" spans="2:4" x14ac:dyDescent="0.2">
      <c r="B158" s="10" t="s">
        <v>8</v>
      </c>
      <c r="C158" s="11" t="s">
        <v>2</v>
      </c>
      <c r="D158" s="40">
        <v>351.46</v>
      </c>
    </row>
    <row r="159" spans="2:4" x14ac:dyDescent="0.2">
      <c r="B159" s="10" t="s">
        <v>13</v>
      </c>
      <c r="C159" s="11" t="s">
        <v>2</v>
      </c>
      <c r="D159" s="40">
        <v>833.24</v>
      </c>
    </row>
    <row r="160" spans="2:4" x14ac:dyDescent="0.2">
      <c r="B160" s="10" t="s">
        <v>11</v>
      </c>
      <c r="C160" s="11" t="s">
        <v>1</v>
      </c>
      <c r="D160" s="40">
        <v>269.60000000000002</v>
      </c>
    </row>
    <row r="161" spans="2:4" x14ac:dyDescent="0.2">
      <c r="B161" s="10" t="s">
        <v>14</v>
      </c>
      <c r="C161" s="11" t="s">
        <v>1</v>
      </c>
      <c r="D161" s="40">
        <v>279.29000000000002</v>
      </c>
    </row>
    <row r="162" spans="2:4" x14ac:dyDescent="0.2">
      <c r="B162" s="10" t="s">
        <v>6</v>
      </c>
      <c r="C162" s="11" t="s">
        <v>2</v>
      </c>
      <c r="D162" s="40">
        <v>436.45</v>
      </c>
    </row>
    <row r="163" spans="2:4" x14ac:dyDescent="0.2">
      <c r="B163" s="10" t="s">
        <v>6</v>
      </c>
      <c r="C163" s="11" t="s">
        <v>2</v>
      </c>
      <c r="D163" s="40">
        <v>309.02999999999997</v>
      </c>
    </row>
    <row r="164" spans="2:4" x14ac:dyDescent="0.2">
      <c r="B164" s="10" t="s">
        <v>11</v>
      </c>
      <c r="C164" s="11" t="s">
        <v>1</v>
      </c>
      <c r="D164" s="40">
        <v>221.23</v>
      </c>
    </row>
    <row r="165" spans="2:4" x14ac:dyDescent="0.2">
      <c r="B165" s="10" t="s">
        <v>11</v>
      </c>
      <c r="C165" s="11" t="s">
        <v>1</v>
      </c>
      <c r="D165" s="40">
        <v>358.87</v>
      </c>
    </row>
    <row r="166" spans="2:4" x14ac:dyDescent="0.2">
      <c r="B166" s="10" t="s">
        <v>14</v>
      </c>
      <c r="C166" s="11" t="s">
        <v>1</v>
      </c>
      <c r="D166" s="40">
        <v>869.27</v>
      </c>
    </row>
    <row r="167" spans="2:4" x14ac:dyDescent="0.2">
      <c r="B167" s="10" t="s">
        <v>11</v>
      </c>
      <c r="C167" s="11" t="s">
        <v>1</v>
      </c>
      <c r="D167" s="40">
        <v>906.07</v>
      </c>
    </row>
    <row r="168" spans="2:4" x14ac:dyDescent="0.2">
      <c r="B168" s="10" t="s">
        <v>14</v>
      </c>
      <c r="C168" s="11" t="s">
        <v>1</v>
      </c>
      <c r="D168" s="40">
        <v>526.12</v>
      </c>
    </row>
    <row r="169" spans="2:4" x14ac:dyDescent="0.2">
      <c r="B169" s="10" t="s">
        <v>9</v>
      </c>
      <c r="C169" s="11" t="s">
        <v>2</v>
      </c>
      <c r="D169" s="40">
        <v>745.7</v>
      </c>
    </row>
    <row r="170" spans="2:4" x14ac:dyDescent="0.2">
      <c r="B170" s="10" t="s">
        <v>6</v>
      </c>
      <c r="C170" s="11" t="s">
        <v>2</v>
      </c>
      <c r="D170" s="40">
        <v>386.74</v>
      </c>
    </row>
    <row r="171" spans="2:4" x14ac:dyDescent="0.2">
      <c r="B171" s="10" t="s">
        <v>12</v>
      </c>
      <c r="C171" s="11" t="s">
        <v>1</v>
      </c>
      <c r="D171" s="40">
        <v>828.35</v>
      </c>
    </row>
    <row r="172" spans="2:4" x14ac:dyDescent="0.2">
      <c r="B172" s="10" t="s">
        <v>6</v>
      </c>
      <c r="C172" s="11" t="s">
        <v>2</v>
      </c>
      <c r="D172" s="40">
        <v>451.98</v>
      </c>
    </row>
    <row r="173" spans="2:4" x14ac:dyDescent="0.2">
      <c r="B173" s="10" t="s">
        <v>14</v>
      </c>
      <c r="C173" s="11" t="s">
        <v>1</v>
      </c>
      <c r="D173" s="40">
        <v>489.96</v>
      </c>
    </row>
    <row r="174" spans="2:4" x14ac:dyDescent="0.2">
      <c r="B174" s="10" t="s">
        <v>15</v>
      </c>
      <c r="C174" s="11" t="s">
        <v>1</v>
      </c>
      <c r="D174" s="40">
        <v>490.04</v>
      </c>
    </row>
    <row r="175" spans="2:4" x14ac:dyDescent="0.2">
      <c r="B175" s="10" t="s">
        <v>11</v>
      </c>
      <c r="C175" s="11" t="s">
        <v>1</v>
      </c>
      <c r="D175" s="40">
        <v>355.61</v>
      </c>
    </row>
    <row r="176" spans="2:4" x14ac:dyDescent="0.2">
      <c r="B176" s="10" t="s">
        <v>7</v>
      </c>
      <c r="C176" s="11" t="s">
        <v>1</v>
      </c>
      <c r="D176" s="40">
        <v>507.22</v>
      </c>
    </row>
    <row r="177" spans="2:4" x14ac:dyDescent="0.2">
      <c r="B177" s="10" t="s">
        <v>7</v>
      </c>
      <c r="C177" s="11" t="s">
        <v>1</v>
      </c>
      <c r="D177" s="40">
        <v>570.32000000000005</v>
      </c>
    </row>
    <row r="178" spans="2:4" x14ac:dyDescent="0.2">
      <c r="B178" s="10" t="s">
        <v>10</v>
      </c>
      <c r="C178" s="11" t="s">
        <v>2</v>
      </c>
      <c r="D178" s="40">
        <v>103.11</v>
      </c>
    </row>
    <row r="179" spans="2:4" x14ac:dyDescent="0.2">
      <c r="B179" s="10" t="s">
        <v>12</v>
      </c>
      <c r="C179" s="11" t="s">
        <v>1</v>
      </c>
      <c r="D179" s="40">
        <v>669</v>
      </c>
    </row>
    <row r="180" spans="2:4" x14ac:dyDescent="0.2">
      <c r="B180" s="10" t="s">
        <v>10</v>
      </c>
      <c r="C180" s="11" t="s">
        <v>2</v>
      </c>
      <c r="D180" s="40">
        <v>5.27</v>
      </c>
    </row>
    <row r="181" spans="2:4" x14ac:dyDescent="0.2">
      <c r="B181" s="10" t="s">
        <v>11</v>
      </c>
      <c r="C181" s="11" t="s">
        <v>1</v>
      </c>
      <c r="D181" s="40">
        <v>719.08</v>
      </c>
    </row>
    <row r="182" spans="2:4" x14ac:dyDescent="0.2">
      <c r="B182" s="10" t="s">
        <v>11</v>
      </c>
      <c r="C182" s="11" t="s">
        <v>1</v>
      </c>
      <c r="D182" s="40">
        <v>598.28</v>
      </c>
    </row>
    <row r="183" spans="2:4" x14ac:dyDescent="0.2">
      <c r="B183" s="10" t="s">
        <v>13</v>
      </c>
      <c r="C183" s="11" t="s">
        <v>2</v>
      </c>
      <c r="D183" s="40">
        <v>366.81</v>
      </c>
    </row>
    <row r="184" spans="2:4" x14ac:dyDescent="0.2">
      <c r="B184" s="10" t="s">
        <v>7</v>
      </c>
      <c r="C184" s="11" t="s">
        <v>1</v>
      </c>
      <c r="D184" s="40">
        <v>892.44</v>
      </c>
    </row>
    <row r="185" spans="2:4" x14ac:dyDescent="0.2">
      <c r="B185" s="10" t="s">
        <v>11</v>
      </c>
      <c r="C185" s="11" t="s">
        <v>1</v>
      </c>
      <c r="D185" s="40">
        <v>196.35</v>
      </c>
    </row>
    <row r="186" spans="2:4" x14ac:dyDescent="0.2">
      <c r="B186" s="10" t="s">
        <v>12</v>
      </c>
      <c r="C186" s="11" t="s">
        <v>1</v>
      </c>
      <c r="D186" s="40">
        <v>5.79</v>
      </c>
    </row>
    <row r="187" spans="2:4" x14ac:dyDescent="0.2">
      <c r="B187" s="10" t="s">
        <v>8</v>
      </c>
      <c r="C187" s="11" t="s">
        <v>2</v>
      </c>
      <c r="D187" s="40">
        <v>33.01</v>
      </c>
    </row>
    <row r="188" spans="2:4" x14ac:dyDescent="0.2">
      <c r="B188" s="10" t="s">
        <v>15</v>
      </c>
      <c r="C188" s="11" t="s">
        <v>1</v>
      </c>
      <c r="D188" s="40">
        <v>301.48</v>
      </c>
    </row>
    <row r="189" spans="2:4" x14ac:dyDescent="0.2">
      <c r="B189" s="10" t="s">
        <v>7</v>
      </c>
      <c r="C189" s="11" t="s">
        <v>1</v>
      </c>
      <c r="D189" s="40">
        <v>155.30000000000001</v>
      </c>
    </row>
    <row r="190" spans="2:4" x14ac:dyDescent="0.2">
      <c r="B190" s="10" t="s">
        <v>7</v>
      </c>
      <c r="C190" s="11" t="s">
        <v>1</v>
      </c>
      <c r="D190" s="40">
        <v>699.28</v>
      </c>
    </row>
    <row r="191" spans="2:4" x14ac:dyDescent="0.2">
      <c r="B191" s="10" t="s">
        <v>13</v>
      </c>
      <c r="C191" s="11" t="s">
        <v>2</v>
      </c>
      <c r="D191" s="40">
        <v>82.74</v>
      </c>
    </row>
    <row r="192" spans="2:4" x14ac:dyDescent="0.2">
      <c r="B192" s="10" t="s">
        <v>6</v>
      </c>
      <c r="C192" s="11" t="s">
        <v>2</v>
      </c>
      <c r="D192" s="40">
        <v>80.11</v>
      </c>
    </row>
    <row r="193" spans="2:4" x14ac:dyDescent="0.2">
      <c r="B193" s="10" t="s">
        <v>15</v>
      </c>
      <c r="C193" s="11" t="s">
        <v>1</v>
      </c>
      <c r="D193" s="40">
        <v>383.16</v>
      </c>
    </row>
    <row r="194" spans="2:4" x14ac:dyDescent="0.2">
      <c r="B194" s="10" t="s">
        <v>7</v>
      </c>
      <c r="C194" s="11" t="s">
        <v>1</v>
      </c>
      <c r="D194" s="40">
        <v>522.15</v>
      </c>
    </row>
    <row r="195" spans="2:4" x14ac:dyDescent="0.2">
      <c r="B195" s="10" t="s">
        <v>10</v>
      </c>
      <c r="C195" s="11" t="s">
        <v>2</v>
      </c>
      <c r="D195" s="40">
        <v>238.18</v>
      </c>
    </row>
    <row r="196" spans="2:4" x14ac:dyDescent="0.2">
      <c r="B196" s="10" t="s">
        <v>15</v>
      </c>
      <c r="C196" s="11" t="s">
        <v>1</v>
      </c>
      <c r="D196" s="40">
        <v>426.97</v>
      </c>
    </row>
    <row r="197" spans="2:4" x14ac:dyDescent="0.2">
      <c r="B197" s="10" t="s">
        <v>11</v>
      </c>
      <c r="C197" s="11" t="s">
        <v>1</v>
      </c>
      <c r="D197" s="40">
        <v>371.62</v>
      </c>
    </row>
    <row r="198" spans="2:4" x14ac:dyDescent="0.2">
      <c r="B198" s="10" t="s">
        <v>15</v>
      </c>
      <c r="C198" s="11" t="s">
        <v>1</v>
      </c>
      <c r="D198" s="40">
        <v>232.98</v>
      </c>
    </row>
    <row r="199" spans="2:4" x14ac:dyDescent="0.2">
      <c r="B199" s="10" t="s">
        <v>15</v>
      </c>
      <c r="C199" s="11" t="s">
        <v>1</v>
      </c>
      <c r="D199" s="40">
        <v>162.38999999999999</v>
      </c>
    </row>
    <row r="200" spans="2:4" x14ac:dyDescent="0.2">
      <c r="B200" s="10" t="s">
        <v>11</v>
      </c>
      <c r="C200" s="11" t="s">
        <v>1</v>
      </c>
      <c r="D200" s="40">
        <v>697.73</v>
      </c>
    </row>
    <row r="201" spans="2:4" x14ac:dyDescent="0.2">
      <c r="B201" s="10" t="s">
        <v>15</v>
      </c>
      <c r="C201" s="11" t="s">
        <v>1</v>
      </c>
      <c r="D201" s="40">
        <v>474.63</v>
      </c>
    </row>
    <row r="202" spans="2:4" x14ac:dyDescent="0.2">
      <c r="B202" s="10" t="s">
        <v>6</v>
      </c>
      <c r="C202" s="11" t="s">
        <v>2</v>
      </c>
      <c r="D202" s="40">
        <v>625.13</v>
      </c>
    </row>
    <row r="203" spans="2:4" x14ac:dyDescent="0.2">
      <c r="B203" s="10" t="s">
        <v>15</v>
      </c>
      <c r="C203" s="11" t="s">
        <v>1</v>
      </c>
      <c r="D203" s="40">
        <v>864.09</v>
      </c>
    </row>
    <row r="204" spans="2:4" x14ac:dyDescent="0.2">
      <c r="B204" s="10" t="s">
        <v>11</v>
      </c>
      <c r="C204" s="11" t="s">
        <v>1</v>
      </c>
      <c r="D204" s="40">
        <v>836.74</v>
      </c>
    </row>
    <row r="205" spans="2:4" x14ac:dyDescent="0.2">
      <c r="B205" s="10" t="s">
        <v>7</v>
      </c>
      <c r="C205" s="11" t="s">
        <v>1</v>
      </c>
      <c r="D205" s="40">
        <v>660.56</v>
      </c>
    </row>
    <row r="206" spans="2:4" x14ac:dyDescent="0.2">
      <c r="B206" s="10" t="s">
        <v>15</v>
      </c>
      <c r="C206" s="11" t="s">
        <v>1</v>
      </c>
      <c r="D206" s="40">
        <v>636.48</v>
      </c>
    </row>
    <row r="207" spans="2:4" x14ac:dyDescent="0.2">
      <c r="B207" s="10" t="s">
        <v>6</v>
      </c>
      <c r="C207" s="11" t="s">
        <v>2</v>
      </c>
      <c r="D207" s="40">
        <v>677.37</v>
      </c>
    </row>
    <row r="208" spans="2:4" x14ac:dyDescent="0.2">
      <c r="B208" s="10" t="s">
        <v>10</v>
      </c>
      <c r="C208" s="11" t="s">
        <v>2</v>
      </c>
      <c r="D208" s="40">
        <v>974.06</v>
      </c>
    </row>
    <row r="209" spans="2:4" x14ac:dyDescent="0.2">
      <c r="B209" s="10" t="s">
        <v>10</v>
      </c>
      <c r="C209" s="11" t="s">
        <v>2</v>
      </c>
      <c r="D209" s="40">
        <v>778.59</v>
      </c>
    </row>
    <row r="210" spans="2:4" x14ac:dyDescent="0.2">
      <c r="B210" s="10" t="s">
        <v>9</v>
      </c>
      <c r="C210" s="11" t="s">
        <v>2</v>
      </c>
      <c r="D210" s="40">
        <v>391.48</v>
      </c>
    </row>
    <row r="211" spans="2:4" x14ac:dyDescent="0.2">
      <c r="B211" s="10" t="s">
        <v>8</v>
      </c>
      <c r="C211" s="11" t="s">
        <v>2</v>
      </c>
      <c r="D211" s="40">
        <v>827.81</v>
      </c>
    </row>
    <row r="212" spans="2:4" x14ac:dyDescent="0.2">
      <c r="B212" s="10" t="s">
        <v>8</v>
      </c>
      <c r="C212" s="11" t="s">
        <v>2</v>
      </c>
      <c r="D212" s="40">
        <v>709.93</v>
      </c>
    </row>
    <row r="213" spans="2:4" x14ac:dyDescent="0.2">
      <c r="B213" s="10" t="s">
        <v>9</v>
      </c>
      <c r="C213" s="11" t="s">
        <v>2</v>
      </c>
      <c r="D213" s="40">
        <v>800.82</v>
      </c>
    </row>
    <row r="214" spans="2:4" x14ac:dyDescent="0.2">
      <c r="B214" s="10" t="s">
        <v>12</v>
      </c>
      <c r="C214" s="11" t="s">
        <v>1</v>
      </c>
      <c r="D214" s="40">
        <v>142.55000000000001</v>
      </c>
    </row>
    <row r="215" spans="2:4" x14ac:dyDescent="0.2">
      <c r="B215" s="10" t="s">
        <v>14</v>
      </c>
      <c r="C215" s="11" t="s">
        <v>1</v>
      </c>
      <c r="D215" s="40">
        <v>801.78</v>
      </c>
    </row>
    <row r="216" spans="2:4" x14ac:dyDescent="0.2">
      <c r="B216" s="10" t="s">
        <v>11</v>
      </c>
      <c r="C216" s="11" t="s">
        <v>1</v>
      </c>
      <c r="D216" s="40">
        <v>59.61</v>
      </c>
    </row>
    <row r="217" spans="2:4" x14ac:dyDescent="0.2">
      <c r="B217" s="10" t="s">
        <v>7</v>
      </c>
      <c r="C217" s="11" t="s">
        <v>1</v>
      </c>
      <c r="D217" s="40">
        <v>522.64</v>
      </c>
    </row>
    <row r="218" spans="2:4" x14ac:dyDescent="0.2">
      <c r="B218" s="10" t="s">
        <v>15</v>
      </c>
      <c r="C218" s="11" t="s">
        <v>1</v>
      </c>
      <c r="D218" s="40">
        <v>690.37</v>
      </c>
    </row>
    <row r="219" spans="2:4" x14ac:dyDescent="0.2">
      <c r="B219" s="10" t="s">
        <v>15</v>
      </c>
      <c r="C219" s="11" t="s">
        <v>1</v>
      </c>
      <c r="D219" s="40">
        <v>955.4</v>
      </c>
    </row>
    <row r="220" spans="2:4" x14ac:dyDescent="0.2">
      <c r="B220" s="10" t="s">
        <v>13</v>
      </c>
      <c r="C220" s="11" t="s">
        <v>2</v>
      </c>
      <c r="D220" s="40">
        <v>686.1</v>
      </c>
    </row>
    <row r="221" spans="2:4" x14ac:dyDescent="0.2">
      <c r="B221" s="10" t="s">
        <v>8</v>
      </c>
      <c r="C221" s="11" t="s">
        <v>2</v>
      </c>
      <c r="D221" s="40">
        <v>981.35</v>
      </c>
    </row>
    <row r="222" spans="2:4" x14ac:dyDescent="0.2">
      <c r="B222" s="10" t="s">
        <v>8</v>
      </c>
      <c r="C222" s="11" t="s">
        <v>2</v>
      </c>
      <c r="D222" s="40">
        <v>802.02</v>
      </c>
    </row>
    <row r="223" spans="2:4" x14ac:dyDescent="0.2">
      <c r="B223" s="10" t="s">
        <v>8</v>
      </c>
      <c r="C223" s="11" t="s">
        <v>2</v>
      </c>
      <c r="D223" s="40">
        <v>481.61</v>
      </c>
    </row>
    <row r="224" spans="2:4" x14ac:dyDescent="0.2">
      <c r="B224" s="10" t="s">
        <v>15</v>
      </c>
      <c r="C224" s="11" t="s">
        <v>1</v>
      </c>
      <c r="D224" s="40">
        <v>838.49</v>
      </c>
    </row>
    <row r="225" spans="2:4" x14ac:dyDescent="0.2">
      <c r="B225" s="10" t="s">
        <v>9</v>
      </c>
      <c r="C225" s="11" t="s">
        <v>2</v>
      </c>
      <c r="D225" s="40">
        <v>784.38</v>
      </c>
    </row>
    <row r="226" spans="2:4" x14ac:dyDescent="0.2">
      <c r="B226" s="10" t="s">
        <v>15</v>
      </c>
      <c r="C226" s="11" t="s">
        <v>1</v>
      </c>
      <c r="D226" s="40">
        <v>844.36</v>
      </c>
    </row>
    <row r="227" spans="2:4" x14ac:dyDescent="0.2">
      <c r="B227" s="10" t="s">
        <v>12</v>
      </c>
      <c r="C227" s="11" t="s">
        <v>1</v>
      </c>
      <c r="D227" s="40">
        <v>400.34</v>
      </c>
    </row>
    <row r="228" spans="2:4" x14ac:dyDescent="0.2">
      <c r="B228" s="10" t="s">
        <v>7</v>
      </c>
      <c r="C228" s="11" t="s">
        <v>1</v>
      </c>
      <c r="D228" s="40">
        <v>951.26</v>
      </c>
    </row>
    <row r="229" spans="2:4" x14ac:dyDescent="0.2">
      <c r="B229" s="10" t="s">
        <v>6</v>
      </c>
      <c r="C229" s="11" t="s">
        <v>2</v>
      </c>
      <c r="D229" s="40">
        <v>884.13</v>
      </c>
    </row>
    <row r="230" spans="2:4" x14ac:dyDescent="0.2">
      <c r="B230" s="10" t="s">
        <v>8</v>
      </c>
      <c r="C230" s="11" t="s">
        <v>2</v>
      </c>
      <c r="D230" s="40">
        <v>694.1</v>
      </c>
    </row>
    <row r="231" spans="2:4" x14ac:dyDescent="0.2">
      <c r="B231" s="10" t="s">
        <v>12</v>
      </c>
      <c r="C231" s="11" t="s">
        <v>1</v>
      </c>
      <c r="D231" s="40">
        <v>51.17</v>
      </c>
    </row>
    <row r="232" spans="2:4" x14ac:dyDescent="0.2">
      <c r="B232" s="10" t="s">
        <v>8</v>
      </c>
      <c r="C232" s="11" t="s">
        <v>2</v>
      </c>
      <c r="D232" s="40">
        <v>493.07</v>
      </c>
    </row>
    <row r="233" spans="2:4" x14ac:dyDescent="0.2">
      <c r="B233" s="10" t="s">
        <v>7</v>
      </c>
      <c r="C233" s="11" t="s">
        <v>1</v>
      </c>
      <c r="D233" s="40">
        <v>306.17</v>
      </c>
    </row>
    <row r="234" spans="2:4" x14ac:dyDescent="0.2">
      <c r="B234" s="10" t="s">
        <v>13</v>
      </c>
      <c r="C234" s="11" t="s">
        <v>2</v>
      </c>
      <c r="D234" s="40">
        <v>149.19</v>
      </c>
    </row>
    <row r="235" spans="2:4" x14ac:dyDescent="0.2">
      <c r="B235" s="10" t="s">
        <v>11</v>
      </c>
      <c r="C235" s="11" t="s">
        <v>1</v>
      </c>
      <c r="D235" s="40">
        <v>914.68</v>
      </c>
    </row>
    <row r="236" spans="2:4" x14ac:dyDescent="0.2">
      <c r="B236" s="10" t="s">
        <v>10</v>
      </c>
      <c r="C236" s="11" t="s">
        <v>2</v>
      </c>
      <c r="D236" s="40">
        <v>120.35</v>
      </c>
    </row>
    <row r="237" spans="2:4" x14ac:dyDescent="0.2">
      <c r="B237" s="10" t="s">
        <v>14</v>
      </c>
      <c r="C237" s="11" t="s">
        <v>1</v>
      </c>
      <c r="D237" s="40">
        <v>583.54999999999995</v>
      </c>
    </row>
    <row r="238" spans="2:4" x14ac:dyDescent="0.2">
      <c r="B238" s="10" t="s">
        <v>7</v>
      </c>
      <c r="C238" s="11" t="s">
        <v>1</v>
      </c>
      <c r="D238" s="40">
        <v>142.94</v>
      </c>
    </row>
    <row r="239" spans="2:4" x14ac:dyDescent="0.2">
      <c r="B239" s="10" t="s">
        <v>8</v>
      </c>
      <c r="C239" s="11" t="s">
        <v>2</v>
      </c>
      <c r="D239" s="40">
        <v>777.04</v>
      </c>
    </row>
    <row r="240" spans="2:4" x14ac:dyDescent="0.2">
      <c r="B240" s="10" t="s">
        <v>11</v>
      </c>
      <c r="C240" s="11" t="s">
        <v>1</v>
      </c>
      <c r="D240" s="40">
        <v>880.35</v>
      </c>
    </row>
    <row r="241" spans="2:4" x14ac:dyDescent="0.2">
      <c r="B241" s="10" t="s">
        <v>15</v>
      </c>
      <c r="C241" s="11" t="s">
        <v>1</v>
      </c>
      <c r="D241" s="40">
        <v>479.4</v>
      </c>
    </row>
    <row r="242" spans="2:4" x14ac:dyDescent="0.2">
      <c r="B242" s="10" t="s">
        <v>9</v>
      </c>
      <c r="C242" s="11" t="s">
        <v>2</v>
      </c>
      <c r="D242" s="40">
        <v>324.58999999999997</v>
      </c>
    </row>
    <row r="243" spans="2:4" x14ac:dyDescent="0.2">
      <c r="B243" s="10" t="s">
        <v>11</v>
      </c>
      <c r="C243" s="11" t="s">
        <v>1</v>
      </c>
      <c r="D243" s="40">
        <v>878.36</v>
      </c>
    </row>
    <row r="244" spans="2:4" x14ac:dyDescent="0.2">
      <c r="B244" s="10" t="s">
        <v>10</v>
      </c>
      <c r="C244" s="11" t="s">
        <v>2</v>
      </c>
      <c r="D244" s="40">
        <v>716.44</v>
      </c>
    </row>
    <row r="245" spans="2:4" x14ac:dyDescent="0.2">
      <c r="B245" s="10" t="s">
        <v>15</v>
      </c>
      <c r="C245" s="11" t="s">
        <v>1</v>
      </c>
      <c r="D245" s="40">
        <v>262.35000000000002</v>
      </c>
    </row>
    <row r="246" spans="2:4" x14ac:dyDescent="0.2">
      <c r="B246" s="10" t="s">
        <v>15</v>
      </c>
      <c r="C246" s="11" t="s">
        <v>1</v>
      </c>
      <c r="D246" s="40">
        <v>318</v>
      </c>
    </row>
    <row r="247" spans="2:4" x14ac:dyDescent="0.2">
      <c r="B247" s="10" t="s">
        <v>10</v>
      </c>
      <c r="C247" s="11" t="s">
        <v>2</v>
      </c>
      <c r="D247" s="40">
        <v>121.87</v>
      </c>
    </row>
    <row r="248" spans="2:4" x14ac:dyDescent="0.2">
      <c r="B248" s="10" t="s">
        <v>8</v>
      </c>
      <c r="C248" s="11" t="s">
        <v>2</v>
      </c>
      <c r="D248" s="40">
        <v>93.92</v>
      </c>
    </row>
    <row r="249" spans="2:4" x14ac:dyDescent="0.2">
      <c r="B249" s="10" t="s">
        <v>8</v>
      </c>
      <c r="C249" s="11" t="s">
        <v>2</v>
      </c>
      <c r="D249" s="40">
        <v>680.01</v>
      </c>
    </row>
    <row r="250" spans="2:4" x14ac:dyDescent="0.2">
      <c r="B250" s="10" t="s">
        <v>6</v>
      </c>
      <c r="C250" s="11" t="s">
        <v>2</v>
      </c>
      <c r="D250" s="40">
        <v>633.67999999999995</v>
      </c>
    </row>
    <row r="251" spans="2:4" x14ac:dyDescent="0.2">
      <c r="B251" s="10" t="s">
        <v>15</v>
      </c>
      <c r="C251" s="11" t="s">
        <v>1</v>
      </c>
      <c r="D251" s="40">
        <v>792.5</v>
      </c>
    </row>
    <row r="252" spans="2:4" x14ac:dyDescent="0.2">
      <c r="B252" s="10" t="s">
        <v>8</v>
      </c>
      <c r="C252" s="11" t="s">
        <v>2</v>
      </c>
      <c r="D252" s="40">
        <v>722.89</v>
      </c>
    </row>
    <row r="253" spans="2:4" x14ac:dyDescent="0.2">
      <c r="B253" s="10" t="s">
        <v>6</v>
      </c>
      <c r="C253" s="11" t="s">
        <v>2</v>
      </c>
      <c r="D253" s="40">
        <v>69.040000000000006</v>
      </c>
    </row>
    <row r="254" spans="2:4" x14ac:dyDescent="0.2">
      <c r="B254" s="10" t="s">
        <v>11</v>
      </c>
      <c r="C254" s="11" t="s">
        <v>1</v>
      </c>
      <c r="D254" s="40">
        <v>278.33999999999997</v>
      </c>
    </row>
    <row r="255" spans="2:4" x14ac:dyDescent="0.2">
      <c r="B255" s="10" t="s">
        <v>7</v>
      </c>
      <c r="C255" s="11" t="s">
        <v>1</v>
      </c>
      <c r="D255" s="40">
        <v>393.09</v>
      </c>
    </row>
    <row r="256" spans="2:4" x14ac:dyDescent="0.2">
      <c r="B256" s="10" t="s">
        <v>7</v>
      </c>
      <c r="C256" s="11" t="s">
        <v>1</v>
      </c>
      <c r="D256" s="40">
        <v>530.57000000000005</v>
      </c>
    </row>
    <row r="257" spans="2:4" x14ac:dyDescent="0.2">
      <c r="B257" s="10" t="s">
        <v>13</v>
      </c>
      <c r="C257" s="11" t="s">
        <v>2</v>
      </c>
      <c r="D257" s="40">
        <v>393.22</v>
      </c>
    </row>
    <row r="258" spans="2:4" x14ac:dyDescent="0.2">
      <c r="B258" s="10" t="s">
        <v>14</v>
      </c>
      <c r="C258" s="11" t="s">
        <v>1</v>
      </c>
      <c r="D258" s="40">
        <v>725.49</v>
      </c>
    </row>
    <row r="259" spans="2:4" x14ac:dyDescent="0.2">
      <c r="B259" s="10" t="s">
        <v>12</v>
      </c>
      <c r="C259" s="11" t="s">
        <v>1</v>
      </c>
      <c r="D259" s="40">
        <v>902.21</v>
      </c>
    </row>
    <row r="260" spans="2:4" x14ac:dyDescent="0.2">
      <c r="B260" s="10" t="s">
        <v>14</v>
      </c>
      <c r="C260" s="11" t="s">
        <v>1</v>
      </c>
      <c r="D260" s="40">
        <v>256.77</v>
      </c>
    </row>
    <row r="261" spans="2:4" x14ac:dyDescent="0.2">
      <c r="B261" s="10" t="s">
        <v>9</v>
      </c>
      <c r="C261" s="11" t="s">
        <v>2</v>
      </c>
      <c r="D261" s="40">
        <v>345.31</v>
      </c>
    </row>
    <row r="262" spans="2:4" x14ac:dyDescent="0.2">
      <c r="B262" s="10" t="s">
        <v>15</v>
      </c>
      <c r="C262" s="11" t="s">
        <v>1</v>
      </c>
      <c r="D262" s="40">
        <v>863.76</v>
      </c>
    </row>
    <row r="263" spans="2:4" x14ac:dyDescent="0.2">
      <c r="B263" s="10" t="s">
        <v>15</v>
      </c>
      <c r="C263" s="11" t="s">
        <v>1</v>
      </c>
      <c r="D263" s="40">
        <v>52.06</v>
      </c>
    </row>
    <row r="264" spans="2:4" x14ac:dyDescent="0.2">
      <c r="B264" s="10" t="s">
        <v>7</v>
      </c>
      <c r="C264" s="11" t="s">
        <v>1</v>
      </c>
      <c r="D264" s="40">
        <v>268.23</v>
      </c>
    </row>
    <row r="265" spans="2:4" x14ac:dyDescent="0.2">
      <c r="B265" s="10" t="s">
        <v>7</v>
      </c>
      <c r="C265" s="11" t="s">
        <v>1</v>
      </c>
      <c r="D265" s="40">
        <v>576.42999999999995</v>
      </c>
    </row>
    <row r="266" spans="2:4" x14ac:dyDescent="0.2">
      <c r="B266" s="10" t="s">
        <v>15</v>
      </c>
      <c r="C266" s="11" t="s">
        <v>1</v>
      </c>
      <c r="D266" s="40">
        <v>567.37</v>
      </c>
    </row>
    <row r="267" spans="2:4" x14ac:dyDescent="0.2">
      <c r="B267" s="10" t="s">
        <v>11</v>
      </c>
      <c r="C267" s="11" t="s">
        <v>1</v>
      </c>
      <c r="D267" s="40">
        <v>949.34</v>
      </c>
    </row>
    <row r="268" spans="2:4" x14ac:dyDescent="0.2">
      <c r="B268" s="10" t="s">
        <v>15</v>
      </c>
      <c r="C268" s="11" t="s">
        <v>1</v>
      </c>
      <c r="D268" s="40">
        <v>421.58</v>
      </c>
    </row>
    <row r="269" spans="2:4" x14ac:dyDescent="0.2">
      <c r="B269" s="10" t="s">
        <v>7</v>
      </c>
      <c r="C269" s="11" t="s">
        <v>1</v>
      </c>
      <c r="D269" s="40">
        <v>683.16</v>
      </c>
    </row>
    <row r="270" spans="2:4" x14ac:dyDescent="0.2">
      <c r="B270" s="10" t="s">
        <v>11</v>
      </c>
      <c r="C270" s="11" t="s">
        <v>1</v>
      </c>
      <c r="D270" s="40">
        <v>554.57000000000005</v>
      </c>
    </row>
    <row r="271" spans="2:4" x14ac:dyDescent="0.2">
      <c r="B271" s="10" t="s">
        <v>6</v>
      </c>
      <c r="C271" s="11" t="s">
        <v>2</v>
      </c>
      <c r="D271" s="40">
        <v>111.34</v>
      </c>
    </row>
    <row r="272" spans="2:4" x14ac:dyDescent="0.2">
      <c r="B272" s="10" t="s">
        <v>14</v>
      </c>
      <c r="C272" s="11" t="s">
        <v>1</v>
      </c>
      <c r="D272" s="40">
        <v>674.78</v>
      </c>
    </row>
    <row r="273" spans="2:4" x14ac:dyDescent="0.2">
      <c r="B273" s="10" t="s">
        <v>14</v>
      </c>
      <c r="C273" s="11" t="s">
        <v>1</v>
      </c>
      <c r="D273" s="40">
        <v>40.1</v>
      </c>
    </row>
    <row r="274" spans="2:4" x14ac:dyDescent="0.2">
      <c r="B274" s="10" t="s">
        <v>8</v>
      </c>
      <c r="C274" s="11" t="s">
        <v>2</v>
      </c>
      <c r="D274" s="40">
        <v>554.39</v>
      </c>
    </row>
    <row r="275" spans="2:4" x14ac:dyDescent="0.2">
      <c r="B275" s="10" t="s">
        <v>8</v>
      </c>
      <c r="C275" s="11" t="s">
        <v>2</v>
      </c>
      <c r="D275" s="40">
        <v>123.82</v>
      </c>
    </row>
    <row r="276" spans="2:4" x14ac:dyDescent="0.2">
      <c r="B276" s="10" t="s">
        <v>8</v>
      </c>
      <c r="C276" s="11" t="s">
        <v>2</v>
      </c>
      <c r="D276" s="40">
        <v>601.28</v>
      </c>
    </row>
    <row r="277" spans="2:4" x14ac:dyDescent="0.2">
      <c r="B277" s="10" t="s">
        <v>13</v>
      </c>
      <c r="C277" s="11" t="s">
        <v>2</v>
      </c>
      <c r="D277" s="40">
        <v>733.2</v>
      </c>
    </row>
    <row r="278" spans="2:4" x14ac:dyDescent="0.2">
      <c r="B278" s="10" t="s">
        <v>11</v>
      </c>
      <c r="C278" s="11" t="s">
        <v>1</v>
      </c>
      <c r="D278" s="40">
        <v>924.95</v>
      </c>
    </row>
    <row r="279" spans="2:4" x14ac:dyDescent="0.2">
      <c r="B279" s="10" t="s">
        <v>14</v>
      </c>
      <c r="C279" s="11" t="s">
        <v>1</v>
      </c>
      <c r="D279" s="40">
        <v>714.59</v>
      </c>
    </row>
    <row r="280" spans="2:4" x14ac:dyDescent="0.2">
      <c r="B280" s="10" t="s">
        <v>12</v>
      </c>
      <c r="C280" s="11" t="s">
        <v>1</v>
      </c>
      <c r="D280" s="40">
        <v>393.57</v>
      </c>
    </row>
    <row r="281" spans="2:4" x14ac:dyDescent="0.2">
      <c r="B281" s="10" t="s">
        <v>11</v>
      </c>
      <c r="C281" s="11" t="s">
        <v>1</v>
      </c>
      <c r="D281" s="40">
        <v>576.99</v>
      </c>
    </row>
    <row r="282" spans="2:4" x14ac:dyDescent="0.2">
      <c r="B282" s="10" t="s">
        <v>6</v>
      </c>
      <c r="C282" s="11" t="s">
        <v>2</v>
      </c>
      <c r="D282" s="40">
        <v>160.34</v>
      </c>
    </row>
    <row r="283" spans="2:4" x14ac:dyDescent="0.2">
      <c r="B283" s="10" t="s">
        <v>14</v>
      </c>
      <c r="C283" s="11" t="s">
        <v>1</v>
      </c>
      <c r="D283" s="40">
        <v>814.17</v>
      </c>
    </row>
    <row r="284" spans="2:4" x14ac:dyDescent="0.2">
      <c r="B284" s="10" t="s">
        <v>15</v>
      </c>
      <c r="C284" s="11" t="s">
        <v>1</v>
      </c>
      <c r="D284" s="40">
        <v>975.8</v>
      </c>
    </row>
    <row r="285" spans="2:4" x14ac:dyDescent="0.2">
      <c r="B285" s="10" t="s">
        <v>14</v>
      </c>
      <c r="C285" s="11" t="s">
        <v>1</v>
      </c>
      <c r="D285" s="40">
        <v>118.48</v>
      </c>
    </row>
    <row r="286" spans="2:4" x14ac:dyDescent="0.2">
      <c r="B286" s="10" t="s">
        <v>6</v>
      </c>
      <c r="C286" s="11" t="s">
        <v>2</v>
      </c>
      <c r="D286" s="40">
        <v>605.42999999999995</v>
      </c>
    </row>
    <row r="287" spans="2:4" x14ac:dyDescent="0.2">
      <c r="B287" s="10" t="s">
        <v>11</v>
      </c>
      <c r="C287" s="11" t="s">
        <v>1</v>
      </c>
      <c r="D287" s="40">
        <v>100.09</v>
      </c>
    </row>
    <row r="288" spans="2:4" x14ac:dyDescent="0.2">
      <c r="B288" s="10" t="s">
        <v>14</v>
      </c>
      <c r="C288" s="11" t="s">
        <v>1</v>
      </c>
      <c r="D288" s="40">
        <v>964.23</v>
      </c>
    </row>
    <row r="289" spans="2:4" x14ac:dyDescent="0.2">
      <c r="B289" s="10" t="s">
        <v>13</v>
      </c>
      <c r="C289" s="11" t="s">
        <v>2</v>
      </c>
      <c r="D289" s="40">
        <v>834.22</v>
      </c>
    </row>
    <row r="290" spans="2:4" x14ac:dyDescent="0.2">
      <c r="B290" s="10" t="s">
        <v>14</v>
      </c>
      <c r="C290" s="11" t="s">
        <v>1</v>
      </c>
      <c r="D290" s="40">
        <v>33.590000000000003</v>
      </c>
    </row>
    <row r="291" spans="2:4" x14ac:dyDescent="0.2">
      <c r="B291" s="10" t="s">
        <v>12</v>
      </c>
      <c r="C291" s="11" t="s">
        <v>1</v>
      </c>
      <c r="D291" s="40">
        <v>840.83</v>
      </c>
    </row>
    <row r="292" spans="2:4" x14ac:dyDescent="0.2">
      <c r="B292" s="10" t="s">
        <v>15</v>
      </c>
      <c r="C292" s="11" t="s">
        <v>1</v>
      </c>
      <c r="D292" s="40">
        <v>229.46</v>
      </c>
    </row>
    <row r="293" spans="2:4" x14ac:dyDescent="0.2">
      <c r="B293" s="10" t="s">
        <v>15</v>
      </c>
      <c r="C293" s="11" t="s">
        <v>1</v>
      </c>
      <c r="D293" s="40">
        <v>785.49</v>
      </c>
    </row>
    <row r="294" spans="2:4" x14ac:dyDescent="0.2">
      <c r="B294" s="10" t="s">
        <v>8</v>
      </c>
      <c r="C294" s="11" t="s">
        <v>2</v>
      </c>
      <c r="D294" s="40">
        <v>337.48</v>
      </c>
    </row>
    <row r="295" spans="2:4" x14ac:dyDescent="0.2">
      <c r="B295" s="10" t="s">
        <v>11</v>
      </c>
      <c r="C295" s="11" t="s">
        <v>1</v>
      </c>
      <c r="D295" s="40">
        <v>226.75</v>
      </c>
    </row>
    <row r="296" spans="2:4" x14ac:dyDescent="0.2">
      <c r="B296" s="10" t="s">
        <v>6</v>
      </c>
      <c r="C296" s="11" t="s">
        <v>2</v>
      </c>
      <c r="D296" s="40">
        <v>928.69</v>
      </c>
    </row>
    <row r="297" spans="2:4" x14ac:dyDescent="0.2">
      <c r="B297" s="10" t="s">
        <v>7</v>
      </c>
      <c r="C297" s="11" t="s">
        <v>1</v>
      </c>
      <c r="D297" s="40">
        <v>537.91999999999996</v>
      </c>
    </row>
    <row r="298" spans="2:4" x14ac:dyDescent="0.2">
      <c r="B298" s="10" t="s">
        <v>7</v>
      </c>
      <c r="C298" s="11" t="s">
        <v>1</v>
      </c>
      <c r="D298" s="40">
        <v>748.18</v>
      </c>
    </row>
    <row r="299" spans="2:4" x14ac:dyDescent="0.2">
      <c r="B299" s="10" t="s">
        <v>7</v>
      </c>
      <c r="C299" s="11" t="s">
        <v>1</v>
      </c>
      <c r="D299" s="40">
        <v>874.23</v>
      </c>
    </row>
    <row r="300" spans="2:4" x14ac:dyDescent="0.2">
      <c r="B300" s="10" t="s">
        <v>7</v>
      </c>
      <c r="C300" s="11" t="s">
        <v>1</v>
      </c>
      <c r="D300" s="40">
        <v>898.15</v>
      </c>
    </row>
    <row r="301" spans="2:4" x14ac:dyDescent="0.2">
      <c r="B301" s="10" t="s">
        <v>10</v>
      </c>
      <c r="C301" s="11" t="s">
        <v>2</v>
      </c>
      <c r="D301" s="40">
        <v>654.45000000000005</v>
      </c>
    </row>
    <row r="302" spans="2:4" x14ac:dyDescent="0.2">
      <c r="B302" s="10" t="s">
        <v>6</v>
      </c>
      <c r="C302" s="11" t="s">
        <v>2</v>
      </c>
      <c r="D302" s="40">
        <v>396.2</v>
      </c>
    </row>
    <row r="303" spans="2:4" x14ac:dyDescent="0.2">
      <c r="B303" s="10" t="s">
        <v>12</v>
      </c>
      <c r="C303" s="11" t="s">
        <v>1</v>
      </c>
      <c r="D303" s="40">
        <v>153.07</v>
      </c>
    </row>
    <row r="304" spans="2:4" x14ac:dyDescent="0.2">
      <c r="B304" s="10" t="s">
        <v>10</v>
      </c>
      <c r="C304" s="11" t="s">
        <v>2</v>
      </c>
      <c r="D304" s="40">
        <v>117.46</v>
      </c>
    </row>
    <row r="305" spans="2:4" x14ac:dyDescent="0.2">
      <c r="B305" s="10" t="s">
        <v>14</v>
      </c>
      <c r="C305" s="11" t="s">
        <v>1</v>
      </c>
      <c r="D305" s="40">
        <v>257.92</v>
      </c>
    </row>
    <row r="306" spans="2:4" x14ac:dyDescent="0.2">
      <c r="B306" s="10" t="s">
        <v>10</v>
      </c>
      <c r="C306" s="11" t="s">
        <v>2</v>
      </c>
      <c r="D306" s="40">
        <v>595.58000000000004</v>
      </c>
    </row>
    <row r="307" spans="2:4" x14ac:dyDescent="0.2">
      <c r="B307" s="10" t="s">
        <v>15</v>
      </c>
      <c r="C307" s="11" t="s">
        <v>1</v>
      </c>
      <c r="D307" s="40">
        <v>575.32000000000005</v>
      </c>
    </row>
    <row r="308" spans="2:4" x14ac:dyDescent="0.2">
      <c r="B308" s="10" t="s">
        <v>14</v>
      </c>
      <c r="C308" s="11" t="s">
        <v>1</v>
      </c>
      <c r="D308" s="40">
        <v>96.9</v>
      </c>
    </row>
    <row r="309" spans="2:4" x14ac:dyDescent="0.2">
      <c r="B309" s="10" t="s">
        <v>7</v>
      </c>
      <c r="C309" s="11" t="s">
        <v>1</v>
      </c>
      <c r="D309" s="40">
        <v>605.96</v>
      </c>
    </row>
    <row r="310" spans="2:4" x14ac:dyDescent="0.2">
      <c r="B310" s="10" t="s">
        <v>10</v>
      </c>
      <c r="C310" s="11" t="s">
        <v>2</v>
      </c>
      <c r="D310" s="40">
        <v>512.91999999999996</v>
      </c>
    </row>
    <row r="311" spans="2:4" x14ac:dyDescent="0.2">
      <c r="B311" s="10" t="s">
        <v>8</v>
      </c>
      <c r="C311" s="11" t="s">
        <v>2</v>
      </c>
      <c r="D311" s="40">
        <v>137.38999999999999</v>
      </c>
    </row>
    <row r="312" spans="2:4" x14ac:dyDescent="0.2">
      <c r="B312" s="10" t="s">
        <v>12</v>
      </c>
      <c r="C312" s="11" t="s">
        <v>1</v>
      </c>
      <c r="D312" s="40">
        <v>523.26</v>
      </c>
    </row>
    <row r="313" spans="2:4" x14ac:dyDescent="0.2">
      <c r="B313" s="10" t="s">
        <v>11</v>
      </c>
      <c r="C313" s="11" t="s">
        <v>1</v>
      </c>
      <c r="D313" s="40">
        <v>983.23</v>
      </c>
    </row>
    <row r="314" spans="2:4" x14ac:dyDescent="0.2">
      <c r="B314" s="10" t="s">
        <v>6</v>
      </c>
      <c r="C314" s="11" t="s">
        <v>2</v>
      </c>
      <c r="D314" s="40">
        <v>413.63</v>
      </c>
    </row>
    <row r="315" spans="2:4" x14ac:dyDescent="0.2">
      <c r="B315" s="10" t="s">
        <v>8</v>
      </c>
      <c r="C315" s="11" t="s">
        <v>2</v>
      </c>
      <c r="D315" s="40">
        <v>464.16</v>
      </c>
    </row>
    <row r="316" spans="2:4" x14ac:dyDescent="0.2">
      <c r="B316" s="10" t="s">
        <v>7</v>
      </c>
      <c r="C316" s="11" t="s">
        <v>1</v>
      </c>
      <c r="D316" s="40">
        <v>594.6</v>
      </c>
    </row>
    <row r="317" spans="2:4" x14ac:dyDescent="0.2">
      <c r="B317" s="10" t="s">
        <v>12</v>
      </c>
      <c r="C317" s="11" t="s">
        <v>1</v>
      </c>
      <c r="D317" s="40">
        <v>842.61</v>
      </c>
    </row>
    <row r="318" spans="2:4" x14ac:dyDescent="0.2">
      <c r="B318" s="10" t="s">
        <v>12</v>
      </c>
      <c r="C318" s="11" t="s">
        <v>1</v>
      </c>
      <c r="D318" s="40">
        <v>80.959999999999994</v>
      </c>
    </row>
    <row r="319" spans="2:4" x14ac:dyDescent="0.2">
      <c r="B319" s="10" t="s">
        <v>15</v>
      </c>
      <c r="C319" s="11" t="s">
        <v>1</v>
      </c>
      <c r="D319" s="40">
        <v>722.51</v>
      </c>
    </row>
    <row r="320" spans="2:4" x14ac:dyDescent="0.2">
      <c r="B320" s="10" t="s">
        <v>8</v>
      </c>
      <c r="C320" s="11" t="s">
        <v>2</v>
      </c>
      <c r="D320" s="40">
        <v>371.21</v>
      </c>
    </row>
    <row r="321" spans="2:4" x14ac:dyDescent="0.2">
      <c r="B321" s="10" t="s">
        <v>8</v>
      </c>
      <c r="C321" s="11" t="s">
        <v>2</v>
      </c>
      <c r="D321" s="40">
        <v>70.48</v>
      </c>
    </row>
    <row r="322" spans="2:4" x14ac:dyDescent="0.2">
      <c r="B322" s="10" t="s">
        <v>15</v>
      </c>
      <c r="C322" s="11" t="s">
        <v>1</v>
      </c>
      <c r="D322" s="40">
        <v>576.12</v>
      </c>
    </row>
    <row r="323" spans="2:4" x14ac:dyDescent="0.2">
      <c r="B323" s="10" t="s">
        <v>15</v>
      </c>
      <c r="C323" s="11" t="s">
        <v>1</v>
      </c>
      <c r="D323" s="40">
        <v>883.81</v>
      </c>
    </row>
    <row r="324" spans="2:4" x14ac:dyDescent="0.2">
      <c r="B324" s="10" t="s">
        <v>13</v>
      </c>
      <c r="C324" s="11" t="s">
        <v>2</v>
      </c>
      <c r="D324" s="40">
        <v>381.45</v>
      </c>
    </row>
    <row r="325" spans="2:4" x14ac:dyDescent="0.2">
      <c r="B325" s="10" t="s">
        <v>11</v>
      </c>
      <c r="C325" s="11" t="s">
        <v>1</v>
      </c>
      <c r="D325" s="40">
        <v>545.86</v>
      </c>
    </row>
    <row r="326" spans="2:4" x14ac:dyDescent="0.2">
      <c r="B326" s="10" t="s">
        <v>8</v>
      </c>
      <c r="C326" s="11" t="s">
        <v>2</v>
      </c>
      <c r="D326" s="40">
        <v>565.66</v>
      </c>
    </row>
    <row r="327" spans="2:4" x14ac:dyDescent="0.2">
      <c r="B327" s="10" t="s">
        <v>15</v>
      </c>
      <c r="C327" s="11" t="s">
        <v>1</v>
      </c>
      <c r="D327" s="40">
        <v>246.24</v>
      </c>
    </row>
    <row r="328" spans="2:4" x14ac:dyDescent="0.2">
      <c r="B328" s="10" t="s">
        <v>6</v>
      </c>
      <c r="C328" s="11" t="s">
        <v>2</v>
      </c>
      <c r="D328" s="40">
        <v>907.41</v>
      </c>
    </row>
    <row r="329" spans="2:4" x14ac:dyDescent="0.2">
      <c r="B329" s="10" t="s">
        <v>6</v>
      </c>
      <c r="C329" s="11" t="s">
        <v>2</v>
      </c>
      <c r="D329" s="40">
        <v>633.61</v>
      </c>
    </row>
    <row r="330" spans="2:4" x14ac:dyDescent="0.2">
      <c r="B330" s="10" t="s">
        <v>8</v>
      </c>
      <c r="C330" s="11" t="s">
        <v>2</v>
      </c>
      <c r="D330" s="40">
        <v>394.36</v>
      </c>
    </row>
    <row r="331" spans="2:4" x14ac:dyDescent="0.2">
      <c r="B331" s="10" t="s">
        <v>15</v>
      </c>
      <c r="C331" s="11" t="s">
        <v>1</v>
      </c>
      <c r="D331" s="40">
        <v>232.74</v>
      </c>
    </row>
    <row r="332" spans="2:4" x14ac:dyDescent="0.2">
      <c r="B332" s="10" t="s">
        <v>6</v>
      </c>
      <c r="C332" s="11" t="s">
        <v>2</v>
      </c>
      <c r="D332" s="40">
        <v>19.79</v>
      </c>
    </row>
    <row r="333" spans="2:4" x14ac:dyDescent="0.2">
      <c r="B333" s="10" t="s">
        <v>6</v>
      </c>
      <c r="C333" s="11" t="s">
        <v>2</v>
      </c>
      <c r="D333" s="40">
        <v>972.84</v>
      </c>
    </row>
    <row r="334" spans="2:4" x14ac:dyDescent="0.2">
      <c r="B334" s="10" t="s">
        <v>14</v>
      </c>
      <c r="C334" s="11" t="s">
        <v>1</v>
      </c>
      <c r="D334" s="40">
        <v>874.26</v>
      </c>
    </row>
    <row r="335" spans="2:4" x14ac:dyDescent="0.2">
      <c r="B335" s="10" t="s">
        <v>6</v>
      </c>
      <c r="C335" s="11" t="s">
        <v>2</v>
      </c>
      <c r="D335" s="40">
        <v>152.91</v>
      </c>
    </row>
    <row r="336" spans="2:4" x14ac:dyDescent="0.2">
      <c r="B336" s="10" t="s">
        <v>14</v>
      </c>
      <c r="C336" s="11" t="s">
        <v>1</v>
      </c>
      <c r="D336" s="40">
        <v>598.35</v>
      </c>
    </row>
    <row r="337" spans="2:4" x14ac:dyDescent="0.2">
      <c r="B337" s="10" t="s">
        <v>15</v>
      </c>
      <c r="C337" s="11" t="s">
        <v>1</v>
      </c>
      <c r="D337" s="40">
        <v>947.61</v>
      </c>
    </row>
    <row r="338" spans="2:4" x14ac:dyDescent="0.2">
      <c r="B338" s="10" t="s">
        <v>8</v>
      </c>
      <c r="C338" s="11" t="s">
        <v>2</v>
      </c>
      <c r="D338" s="40">
        <v>213.03</v>
      </c>
    </row>
    <row r="339" spans="2:4" x14ac:dyDescent="0.2">
      <c r="B339" s="10" t="s">
        <v>6</v>
      </c>
      <c r="C339" s="11" t="s">
        <v>2</v>
      </c>
      <c r="D339" s="40">
        <v>835.17</v>
      </c>
    </row>
    <row r="340" spans="2:4" x14ac:dyDescent="0.2">
      <c r="B340" s="10" t="s">
        <v>8</v>
      </c>
      <c r="C340" s="11" t="s">
        <v>2</v>
      </c>
      <c r="D340" s="40">
        <v>620.34</v>
      </c>
    </row>
    <row r="341" spans="2:4" x14ac:dyDescent="0.2">
      <c r="B341" s="10" t="s">
        <v>7</v>
      </c>
      <c r="C341" s="11" t="s">
        <v>1</v>
      </c>
      <c r="D341" s="40">
        <v>295.97000000000003</v>
      </c>
    </row>
    <row r="342" spans="2:4" x14ac:dyDescent="0.2">
      <c r="B342" s="10" t="s">
        <v>7</v>
      </c>
      <c r="C342" s="11" t="s">
        <v>1</v>
      </c>
      <c r="D342" s="40">
        <v>399.75</v>
      </c>
    </row>
    <row r="343" spans="2:4" x14ac:dyDescent="0.2">
      <c r="B343" s="10" t="s">
        <v>6</v>
      </c>
      <c r="C343" s="11" t="s">
        <v>2</v>
      </c>
      <c r="D343" s="40">
        <v>852.63</v>
      </c>
    </row>
    <row r="344" spans="2:4" x14ac:dyDescent="0.2">
      <c r="B344" s="10" t="s">
        <v>8</v>
      </c>
      <c r="C344" s="11" t="s">
        <v>2</v>
      </c>
      <c r="D344" s="40">
        <v>23</v>
      </c>
    </row>
    <row r="345" spans="2:4" x14ac:dyDescent="0.2">
      <c r="B345" s="10" t="s">
        <v>11</v>
      </c>
      <c r="C345" s="11" t="s">
        <v>1</v>
      </c>
      <c r="D345" s="40">
        <v>85.37</v>
      </c>
    </row>
    <row r="346" spans="2:4" x14ac:dyDescent="0.2">
      <c r="B346" s="10" t="s">
        <v>8</v>
      </c>
      <c r="C346" s="11" t="s">
        <v>2</v>
      </c>
      <c r="D346" s="40">
        <v>262.52999999999997</v>
      </c>
    </row>
    <row r="347" spans="2:4" x14ac:dyDescent="0.2">
      <c r="B347" s="10" t="s">
        <v>15</v>
      </c>
      <c r="C347" s="11" t="s">
        <v>1</v>
      </c>
      <c r="D347" s="40">
        <v>948.56</v>
      </c>
    </row>
    <row r="348" spans="2:4" x14ac:dyDescent="0.2">
      <c r="B348" s="10" t="s">
        <v>11</v>
      </c>
      <c r="C348" s="11" t="s">
        <v>1</v>
      </c>
      <c r="D348" s="40">
        <v>559.6</v>
      </c>
    </row>
    <row r="349" spans="2:4" x14ac:dyDescent="0.2">
      <c r="B349" s="10" t="s">
        <v>7</v>
      </c>
      <c r="C349" s="11" t="s">
        <v>1</v>
      </c>
      <c r="D349" s="40">
        <v>278.57</v>
      </c>
    </row>
    <row r="350" spans="2:4" x14ac:dyDescent="0.2">
      <c r="B350" s="10" t="s">
        <v>8</v>
      </c>
      <c r="C350" s="11" t="s">
        <v>2</v>
      </c>
      <c r="D350" s="40">
        <v>543.21</v>
      </c>
    </row>
    <row r="351" spans="2:4" x14ac:dyDescent="0.2">
      <c r="B351" s="10" t="s">
        <v>11</v>
      </c>
      <c r="C351" s="11" t="s">
        <v>1</v>
      </c>
      <c r="D351" s="40">
        <v>318.57</v>
      </c>
    </row>
    <row r="352" spans="2:4" x14ac:dyDescent="0.2">
      <c r="B352" s="10" t="s">
        <v>15</v>
      </c>
      <c r="C352" s="11" t="s">
        <v>1</v>
      </c>
      <c r="D352" s="40">
        <v>240.81</v>
      </c>
    </row>
    <row r="353" spans="2:4" x14ac:dyDescent="0.2">
      <c r="B353" s="10" t="s">
        <v>6</v>
      </c>
      <c r="C353" s="11" t="s">
        <v>2</v>
      </c>
      <c r="D353" s="40">
        <v>625.78</v>
      </c>
    </row>
    <row r="354" spans="2:4" x14ac:dyDescent="0.2">
      <c r="B354" s="10" t="s">
        <v>8</v>
      </c>
      <c r="C354" s="11" t="s">
        <v>2</v>
      </c>
      <c r="D354" s="40">
        <v>104.34</v>
      </c>
    </row>
    <row r="355" spans="2:4" x14ac:dyDescent="0.2">
      <c r="B355" s="10" t="s">
        <v>8</v>
      </c>
      <c r="C355" s="11" t="s">
        <v>2</v>
      </c>
      <c r="D355" s="40">
        <v>739.38</v>
      </c>
    </row>
    <row r="356" spans="2:4" x14ac:dyDescent="0.2">
      <c r="B356" s="10" t="s">
        <v>7</v>
      </c>
      <c r="C356" s="11" t="s">
        <v>1</v>
      </c>
      <c r="D356" s="40">
        <v>316.72000000000003</v>
      </c>
    </row>
    <row r="357" spans="2:4" x14ac:dyDescent="0.2">
      <c r="B357" s="10" t="s">
        <v>8</v>
      </c>
      <c r="C357" s="11" t="s">
        <v>2</v>
      </c>
      <c r="D357" s="40">
        <v>799.62</v>
      </c>
    </row>
    <row r="358" spans="2:4" x14ac:dyDescent="0.2">
      <c r="B358" s="10" t="s">
        <v>6</v>
      </c>
      <c r="C358" s="11" t="s">
        <v>2</v>
      </c>
      <c r="D358" s="40">
        <v>73.72</v>
      </c>
    </row>
    <row r="359" spans="2:4" x14ac:dyDescent="0.2">
      <c r="B359" s="10" t="s">
        <v>14</v>
      </c>
      <c r="C359" s="11" t="s">
        <v>1</v>
      </c>
      <c r="D359" s="40">
        <v>537.78</v>
      </c>
    </row>
    <row r="360" spans="2:4" x14ac:dyDescent="0.2">
      <c r="B360" s="10" t="s">
        <v>11</v>
      </c>
      <c r="C360" s="11" t="s">
        <v>1</v>
      </c>
      <c r="D360" s="40">
        <v>58.42</v>
      </c>
    </row>
    <row r="361" spans="2:4" x14ac:dyDescent="0.2">
      <c r="B361" s="10" t="s">
        <v>7</v>
      </c>
      <c r="C361" s="11" t="s">
        <v>1</v>
      </c>
      <c r="D361" s="40">
        <v>735.59</v>
      </c>
    </row>
    <row r="362" spans="2:4" x14ac:dyDescent="0.2">
      <c r="B362" s="10" t="s">
        <v>11</v>
      </c>
      <c r="C362" s="11" t="s">
        <v>1</v>
      </c>
      <c r="D362" s="40">
        <v>515.07000000000005</v>
      </c>
    </row>
    <row r="363" spans="2:4" x14ac:dyDescent="0.2">
      <c r="B363" s="10" t="s">
        <v>12</v>
      </c>
      <c r="C363" s="11" t="s">
        <v>1</v>
      </c>
      <c r="D363" s="40">
        <v>288.64999999999998</v>
      </c>
    </row>
    <row r="364" spans="2:4" x14ac:dyDescent="0.2">
      <c r="B364" s="10" t="s">
        <v>10</v>
      </c>
      <c r="C364" s="11" t="s">
        <v>2</v>
      </c>
      <c r="D364" s="40">
        <v>147.24</v>
      </c>
    </row>
    <row r="365" spans="2:4" x14ac:dyDescent="0.2">
      <c r="B365" s="10" t="s">
        <v>13</v>
      </c>
      <c r="C365" s="11" t="s">
        <v>2</v>
      </c>
      <c r="D365" s="40">
        <v>815.04</v>
      </c>
    </row>
    <row r="366" spans="2:4" x14ac:dyDescent="0.2">
      <c r="B366" s="10" t="s">
        <v>10</v>
      </c>
      <c r="C366" s="11" t="s">
        <v>2</v>
      </c>
      <c r="D366" s="40">
        <v>712.02</v>
      </c>
    </row>
    <row r="367" spans="2:4" x14ac:dyDescent="0.2">
      <c r="B367" s="10" t="s">
        <v>9</v>
      </c>
      <c r="C367" s="11" t="s">
        <v>2</v>
      </c>
      <c r="D367" s="40">
        <v>608.80999999999995</v>
      </c>
    </row>
    <row r="368" spans="2:4" x14ac:dyDescent="0.2">
      <c r="B368" s="10" t="s">
        <v>7</v>
      </c>
      <c r="C368" s="11" t="s">
        <v>1</v>
      </c>
      <c r="D368" s="40">
        <v>476.9</v>
      </c>
    </row>
    <row r="369" spans="2:4" x14ac:dyDescent="0.2">
      <c r="B369" s="10" t="s">
        <v>6</v>
      </c>
      <c r="C369" s="11" t="s">
        <v>2</v>
      </c>
      <c r="D369" s="40">
        <v>491.74</v>
      </c>
    </row>
    <row r="370" spans="2:4" x14ac:dyDescent="0.2">
      <c r="B370" s="10" t="s">
        <v>11</v>
      </c>
      <c r="C370" s="11" t="s">
        <v>1</v>
      </c>
      <c r="D370" s="40">
        <v>977.08</v>
      </c>
    </row>
    <row r="371" spans="2:4" x14ac:dyDescent="0.2">
      <c r="B371" s="10" t="s">
        <v>6</v>
      </c>
      <c r="C371" s="11" t="s">
        <v>2</v>
      </c>
      <c r="D371" s="40">
        <v>558.38</v>
      </c>
    </row>
    <row r="372" spans="2:4" x14ac:dyDescent="0.2">
      <c r="B372" s="10" t="s">
        <v>12</v>
      </c>
      <c r="C372" s="11" t="s">
        <v>1</v>
      </c>
      <c r="D372" s="40">
        <v>583.41999999999996</v>
      </c>
    </row>
    <row r="373" spans="2:4" x14ac:dyDescent="0.2">
      <c r="B373" s="10" t="s">
        <v>14</v>
      </c>
      <c r="C373" s="11" t="s">
        <v>1</v>
      </c>
      <c r="D373" s="40">
        <v>581.58000000000004</v>
      </c>
    </row>
    <row r="374" spans="2:4" x14ac:dyDescent="0.2">
      <c r="B374" s="10" t="s">
        <v>10</v>
      </c>
      <c r="C374" s="11" t="s">
        <v>2</v>
      </c>
      <c r="D374" s="40">
        <v>812.25</v>
      </c>
    </row>
    <row r="375" spans="2:4" x14ac:dyDescent="0.2">
      <c r="B375" s="10" t="s">
        <v>7</v>
      </c>
      <c r="C375" s="11" t="s">
        <v>1</v>
      </c>
      <c r="D375" s="40">
        <v>642.82000000000005</v>
      </c>
    </row>
    <row r="376" spans="2:4" x14ac:dyDescent="0.2">
      <c r="B376" s="10" t="s">
        <v>10</v>
      </c>
      <c r="C376" s="11" t="s">
        <v>2</v>
      </c>
      <c r="D376" s="40">
        <v>918.74</v>
      </c>
    </row>
    <row r="377" spans="2:4" x14ac:dyDescent="0.2">
      <c r="B377" s="10" t="s">
        <v>6</v>
      </c>
      <c r="C377" s="11" t="s">
        <v>2</v>
      </c>
      <c r="D377" s="40">
        <v>772.03</v>
      </c>
    </row>
    <row r="378" spans="2:4" x14ac:dyDescent="0.2">
      <c r="B378" s="10" t="s">
        <v>15</v>
      </c>
      <c r="C378" s="11" t="s">
        <v>1</v>
      </c>
      <c r="D378" s="40">
        <v>184.93</v>
      </c>
    </row>
    <row r="379" spans="2:4" x14ac:dyDescent="0.2">
      <c r="B379" s="10" t="s">
        <v>11</v>
      </c>
      <c r="C379" s="11" t="s">
        <v>1</v>
      </c>
      <c r="D379" s="40">
        <v>753.37</v>
      </c>
    </row>
    <row r="380" spans="2:4" x14ac:dyDescent="0.2">
      <c r="B380" s="10" t="s">
        <v>10</v>
      </c>
      <c r="C380" s="11" t="s">
        <v>2</v>
      </c>
      <c r="D380" s="40">
        <v>300.93</v>
      </c>
    </row>
    <row r="381" spans="2:4" x14ac:dyDescent="0.2">
      <c r="B381" s="10" t="s">
        <v>7</v>
      </c>
      <c r="C381" s="11" t="s">
        <v>1</v>
      </c>
      <c r="D381" s="40">
        <v>37.21</v>
      </c>
    </row>
    <row r="382" spans="2:4" x14ac:dyDescent="0.2">
      <c r="B382" s="10" t="s">
        <v>14</v>
      </c>
      <c r="C382" s="11" t="s">
        <v>1</v>
      </c>
      <c r="D382" s="40">
        <v>31.72</v>
      </c>
    </row>
    <row r="383" spans="2:4" x14ac:dyDescent="0.2">
      <c r="B383" s="10" t="s">
        <v>7</v>
      </c>
      <c r="C383" s="11" t="s">
        <v>1</v>
      </c>
      <c r="D383" s="40">
        <v>133.37</v>
      </c>
    </row>
    <row r="384" spans="2:4" x14ac:dyDescent="0.2">
      <c r="B384" s="10" t="s">
        <v>10</v>
      </c>
      <c r="C384" s="11" t="s">
        <v>2</v>
      </c>
      <c r="D384" s="40">
        <v>261.08999999999997</v>
      </c>
    </row>
    <row r="385" spans="2:4" x14ac:dyDescent="0.2">
      <c r="B385" s="10" t="s">
        <v>15</v>
      </c>
      <c r="C385" s="11" t="s">
        <v>1</v>
      </c>
      <c r="D385" s="40">
        <v>654.91999999999996</v>
      </c>
    </row>
    <row r="386" spans="2:4" x14ac:dyDescent="0.2">
      <c r="B386" s="10" t="s">
        <v>6</v>
      </c>
      <c r="C386" s="11" t="s">
        <v>2</v>
      </c>
      <c r="D386" s="40">
        <v>729.51</v>
      </c>
    </row>
    <row r="387" spans="2:4" x14ac:dyDescent="0.2">
      <c r="B387" s="10" t="s">
        <v>15</v>
      </c>
      <c r="C387" s="11" t="s">
        <v>1</v>
      </c>
      <c r="D387" s="40">
        <v>298.39999999999998</v>
      </c>
    </row>
    <row r="388" spans="2:4" x14ac:dyDescent="0.2">
      <c r="B388" s="10" t="s">
        <v>6</v>
      </c>
      <c r="C388" s="11" t="s">
        <v>2</v>
      </c>
      <c r="D388" s="40">
        <v>331.45</v>
      </c>
    </row>
    <row r="389" spans="2:4" x14ac:dyDescent="0.2">
      <c r="B389" s="10" t="s">
        <v>11</v>
      </c>
      <c r="C389" s="11" t="s">
        <v>1</v>
      </c>
      <c r="D389" s="40">
        <v>942.51</v>
      </c>
    </row>
    <row r="390" spans="2:4" x14ac:dyDescent="0.2">
      <c r="B390" s="10" t="s">
        <v>6</v>
      </c>
      <c r="C390" s="11" t="s">
        <v>2</v>
      </c>
      <c r="D390" s="40">
        <v>98.22</v>
      </c>
    </row>
    <row r="391" spans="2:4" x14ac:dyDescent="0.2">
      <c r="B391" s="10" t="s">
        <v>13</v>
      </c>
      <c r="C391" s="11" t="s">
        <v>2</v>
      </c>
      <c r="D391" s="40">
        <v>222.67</v>
      </c>
    </row>
    <row r="392" spans="2:4" x14ac:dyDescent="0.2">
      <c r="B392" s="10" t="s">
        <v>12</v>
      </c>
      <c r="C392" s="11" t="s">
        <v>1</v>
      </c>
      <c r="D392" s="40">
        <v>199.05</v>
      </c>
    </row>
    <row r="393" spans="2:4" x14ac:dyDescent="0.2">
      <c r="B393" s="10" t="s">
        <v>7</v>
      </c>
      <c r="C393" s="11" t="s">
        <v>1</v>
      </c>
      <c r="D393" s="40">
        <v>576.27</v>
      </c>
    </row>
    <row r="394" spans="2:4" x14ac:dyDescent="0.2">
      <c r="B394" s="10" t="s">
        <v>12</v>
      </c>
      <c r="C394" s="11" t="s">
        <v>1</v>
      </c>
      <c r="D394" s="40">
        <v>450</v>
      </c>
    </row>
    <row r="395" spans="2:4" x14ac:dyDescent="0.2">
      <c r="B395" s="10" t="s">
        <v>10</v>
      </c>
      <c r="C395" s="11" t="s">
        <v>2</v>
      </c>
      <c r="D395" s="40">
        <v>300.67</v>
      </c>
    </row>
    <row r="396" spans="2:4" x14ac:dyDescent="0.2">
      <c r="B396" s="10" t="s">
        <v>7</v>
      </c>
      <c r="C396" s="11" t="s">
        <v>1</v>
      </c>
      <c r="D396" s="40">
        <v>962.34</v>
      </c>
    </row>
    <row r="397" spans="2:4" x14ac:dyDescent="0.2">
      <c r="B397" s="10" t="s">
        <v>13</v>
      </c>
      <c r="C397" s="11" t="s">
        <v>2</v>
      </c>
      <c r="D397" s="40">
        <v>426.42</v>
      </c>
    </row>
    <row r="398" spans="2:4" x14ac:dyDescent="0.2">
      <c r="B398" s="10" t="s">
        <v>15</v>
      </c>
      <c r="C398" s="11" t="s">
        <v>1</v>
      </c>
      <c r="D398" s="40">
        <v>499.38</v>
      </c>
    </row>
    <row r="399" spans="2:4" x14ac:dyDescent="0.2">
      <c r="B399" s="10" t="s">
        <v>7</v>
      </c>
      <c r="C399" s="11" t="s">
        <v>1</v>
      </c>
      <c r="D399" s="40">
        <v>150.51</v>
      </c>
    </row>
    <row r="400" spans="2:4" x14ac:dyDescent="0.2">
      <c r="B400" s="10" t="s">
        <v>15</v>
      </c>
      <c r="C400" s="11" t="s">
        <v>1</v>
      </c>
      <c r="D400" s="40">
        <v>120.83</v>
      </c>
    </row>
    <row r="401" spans="2:4" x14ac:dyDescent="0.2">
      <c r="B401" s="10" t="s">
        <v>6</v>
      </c>
      <c r="C401" s="11" t="s">
        <v>2</v>
      </c>
      <c r="D401" s="40">
        <v>827.09</v>
      </c>
    </row>
    <row r="402" spans="2:4" x14ac:dyDescent="0.2">
      <c r="B402" s="10" t="s">
        <v>12</v>
      </c>
      <c r="C402" s="11" t="s">
        <v>1</v>
      </c>
      <c r="D402" s="40">
        <v>348.37</v>
      </c>
    </row>
    <row r="403" spans="2:4" x14ac:dyDescent="0.2">
      <c r="B403" s="10" t="s">
        <v>14</v>
      </c>
      <c r="C403" s="11" t="s">
        <v>1</v>
      </c>
      <c r="D403" s="40">
        <v>1.87</v>
      </c>
    </row>
    <row r="404" spans="2:4" x14ac:dyDescent="0.2">
      <c r="B404" s="10" t="s">
        <v>12</v>
      </c>
      <c r="C404" s="11" t="s">
        <v>1</v>
      </c>
      <c r="D404" s="40">
        <v>2.1</v>
      </c>
    </row>
    <row r="405" spans="2:4" x14ac:dyDescent="0.2">
      <c r="B405" s="10" t="s">
        <v>13</v>
      </c>
      <c r="C405" s="11" t="s">
        <v>2</v>
      </c>
      <c r="D405" s="40">
        <v>737.46</v>
      </c>
    </row>
    <row r="406" spans="2:4" x14ac:dyDescent="0.2">
      <c r="B406" s="10" t="s">
        <v>7</v>
      </c>
      <c r="C406" s="11" t="s">
        <v>1</v>
      </c>
      <c r="D406" s="40">
        <v>236.37</v>
      </c>
    </row>
    <row r="407" spans="2:4" x14ac:dyDescent="0.2">
      <c r="B407" s="10" t="s">
        <v>10</v>
      </c>
      <c r="C407" s="11" t="s">
        <v>2</v>
      </c>
      <c r="D407" s="40">
        <v>560.34</v>
      </c>
    </row>
    <row r="408" spans="2:4" x14ac:dyDescent="0.2">
      <c r="B408" s="10" t="s">
        <v>12</v>
      </c>
      <c r="C408" s="11" t="s">
        <v>1</v>
      </c>
      <c r="D408" s="40">
        <v>888.45</v>
      </c>
    </row>
    <row r="409" spans="2:4" x14ac:dyDescent="0.2">
      <c r="B409" s="10" t="s">
        <v>15</v>
      </c>
      <c r="C409" s="11" t="s">
        <v>1</v>
      </c>
      <c r="D409" s="40">
        <v>180.05</v>
      </c>
    </row>
    <row r="410" spans="2:4" x14ac:dyDescent="0.2">
      <c r="B410" s="10" t="s">
        <v>15</v>
      </c>
      <c r="C410" s="11" t="s">
        <v>1</v>
      </c>
      <c r="D410" s="40">
        <v>140.57</v>
      </c>
    </row>
    <row r="411" spans="2:4" x14ac:dyDescent="0.2">
      <c r="B411" s="10" t="s">
        <v>12</v>
      </c>
      <c r="C411" s="11" t="s">
        <v>1</v>
      </c>
      <c r="D411" s="40">
        <v>751.11</v>
      </c>
    </row>
    <row r="412" spans="2:4" x14ac:dyDescent="0.2">
      <c r="B412" s="10" t="s">
        <v>12</v>
      </c>
      <c r="C412" s="11" t="s">
        <v>1</v>
      </c>
      <c r="D412" s="40">
        <v>486.2</v>
      </c>
    </row>
    <row r="413" spans="2:4" x14ac:dyDescent="0.2">
      <c r="B413" s="10" t="s">
        <v>14</v>
      </c>
      <c r="C413" s="11" t="s">
        <v>1</v>
      </c>
      <c r="D413" s="40">
        <v>945.91</v>
      </c>
    </row>
    <row r="414" spans="2:4" x14ac:dyDescent="0.2">
      <c r="B414" s="10" t="s">
        <v>12</v>
      </c>
      <c r="C414" s="11" t="s">
        <v>1</v>
      </c>
      <c r="D414" s="40">
        <v>136.68</v>
      </c>
    </row>
    <row r="415" spans="2:4" x14ac:dyDescent="0.2">
      <c r="B415" s="10" t="s">
        <v>6</v>
      </c>
      <c r="C415" s="11" t="s">
        <v>2</v>
      </c>
      <c r="D415" s="40">
        <v>48.97</v>
      </c>
    </row>
    <row r="416" spans="2:4" x14ac:dyDescent="0.2">
      <c r="B416" s="10" t="s">
        <v>8</v>
      </c>
      <c r="C416" s="11" t="s">
        <v>2</v>
      </c>
      <c r="D416" s="40">
        <v>970.32</v>
      </c>
    </row>
    <row r="417" spans="2:4" x14ac:dyDescent="0.2">
      <c r="B417" s="10" t="s">
        <v>15</v>
      </c>
      <c r="C417" s="11" t="s">
        <v>1</v>
      </c>
      <c r="D417" s="40">
        <v>99.29</v>
      </c>
    </row>
    <row r="418" spans="2:4" x14ac:dyDescent="0.2">
      <c r="B418" s="10" t="s">
        <v>7</v>
      </c>
      <c r="C418" s="11" t="s">
        <v>1</v>
      </c>
      <c r="D418" s="40">
        <v>760.66</v>
      </c>
    </row>
    <row r="419" spans="2:4" x14ac:dyDescent="0.2">
      <c r="B419" s="14" t="s">
        <v>7</v>
      </c>
      <c r="C419" s="15" t="s">
        <v>1</v>
      </c>
      <c r="D419" s="41">
        <v>146.30000000000001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/>
  </sheetPr>
  <dimension ref="A1:DY16"/>
  <sheetViews>
    <sheetView showGridLines="0" workbookViewId="0">
      <pane xSplit="2" topLeftCell="C1" activePane="topRight" state="frozen"/>
      <selection pane="topRight" activeCell="A4" sqref="A4"/>
    </sheetView>
  </sheetViews>
  <sheetFormatPr defaultColWidth="9.09765625" defaultRowHeight="13" x14ac:dyDescent="0.2"/>
  <cols>
    <col min="1" max="1" width="3" style="18" customWidth="1"/>
    <col min="2" max="2" width="25.69921875" style="42" customWidth="1"/>
    <col min="3" max="3" width="14" style="18" bestFit="1" customWidth="1"/>
    <col min="4" max="4" width="13.296875" style="18" customWidth="1"/>
    <col min="5" max="6" width="14.8984375" style="18" bestFit="1" customWidth="1"/>
    <col min="7" max="7" width="13.296875" style="18" customWidth="1"/>
    <col min="8" max="8" width="13.296875" style="18" bestFit="1" customWidth="1"/>
    <col min="9" max="10" width="14.8984375" style="18" bestFit="1" customWidth="1"/>
    <col min="11" max="11" width="13.296875" style="18" bestFit="1" customWidth="1"/>
    <col min="12" max="15" width="14.8984375" style="18" bestFit="1" customWidth="1"/>
    <col min="16" max="16" width="15.8984375" style="18" bestFit="1" customWidth="1"/>
    <col min="17" max="17" width="13.296875" style="18" customWidth="1"/>
    <col min="18" max="18" width="15.8984375" style="18" bestFit="1" customWidth="1"/>
    <col min="19" max="19" width="13.296875" style="18" bestFit="1" customWidth="1"/>
    <col min="20" max="21" width="14.8984375" style="18" bestFit="1" customWidth="1"/>
    <col min="22" max="22" width="13.296875" style="18" bestFit="1" customWidth="1"/>
    <col min="23" max="26" width="14.8984375" style="18" bestFit="1" customWidth="1"/>
    <col min="27" max="28" width="13.296875" style="18" bestFit="1" customWidth="1"/>
    <col min="29" max="29" width="14.8984375" style="18" bestFit="1" customWidth="1"/>
    <col min="30" max="30" width="13.296875" style="18" bestFit="1" customWidth="1"/>
    <col min="31" max="31" width="14.8984375" style="18" bestFit="1" customWidth="1"/>
    <col min="32" max="32" width="13.296875" style="18" bestFit="1" customWidth="1"/>
    <col min="33" max="33" width="14.8984375" style="18" bestFit="1" customWidth="1"/>
    <col min="34" max="35" width="15.8984375" style="18" bestFit="1" customWidth="1"/>
    <col min="36" max="38" width="13.296875" style="18" bestFit="1" customWidth="1"/>
    <col min="39" max="41" width="14.8984375" style="18" bestFit="1" customWidth="1"/>
    <col min="42" max="44" width="13.296875" style="18" bestFit="1" customWidth="1"/>
    <col min="45" max="45" width="14.8984375" style="18" bestFit="1" customWidth="1"/>
    <col min="46" max="46" width="15.8984375" style="18" bestFit="1" customWidth="1"/>
    <col min="47" max="47" width="14.8984375" style="18" bestFit="1" customWidth="1"/>
    <col min="48" max="49" width="13.296875" style="18" bestFit="1" customWidth="1"/>
    <col min="50" max="53" width="14.8984375" style="18" bestFit="1" customWidth="1"/>
    <col min="54" max="54" width="13.296875" style="18" bestFit="1" customWidth="1"/>
    <col min="55" max="56" width="14.8984375" style="18" bestFit="1" customWidth="1"/>
    <col min="57" max="58" width="13.296875" style="18" bestFit="1" customWidth="1"/>
    <col min="59" max="62" width="14.8984375" style="18" bestFit="1" customWidth="1"/>
    <col min="63" max="63" width="13.296875" style="18" bestFit="1" customWidth="1"/>
    <col min="64" max="65" width="14.8984375" style="18" bestFit="1" customWidth="1"/>
    <col min="66" max="66" width="13.296875" style="18" bestFit="1" customWidth="1"/>
    <col min="67" max="67" width="15.8984375" style="18" bestFit="1" customWidth="1"/>
    <col min="68" max="68" width="14.8984375" style="18" bestFit="1" customWidth="1"/>
    <col min="69" max="69" width="13.296875" style="18" bestFit="1" customWidth="1"/>
    <col min="70" max="70" width="14.8984375" style="18" bestFit="1" customWidth="1"/>
    <col min="71" max="72" width="13.296875" style="18" bestFit="1" customWidth="1"/>
    <col min="73" max="74" width="14.8984375" style="18" bestFit="1" customWidth="1"/>
    <col min="75" max="75" width="13.296875" style="18" bestFit="1" customWidth="1"/>
    <col min="76" max="76" width="14.8984375" style="18" bestFit="1" customWidth="1"/>
    <col min="77" max="77" width="13.296875" style="18" bestFit="1" customWidth="1"/>
    <col min="78" max="83" width="14.8984375" style="18" bestFit="1" customWidth="1"/>
    <col min="84" max="85" width="13.296875" style="18" bestFit="1" customWidth="1"/>
    <col min="86" max="86" width="15.8984375" style="18" bestFit="1" customWidth="1"/>
    <col min="87" max="87" width="13.296875" style="18" bestFit="1" customWidth="1"/>
    <col min="88" max="90" width="14.8984375" style="18" bestFit="1" customWidth="1"/>
    <col min="91" max="91" width="13.296875" style="18" bestFit="1" customWidth="1"/>
    <col min="92" max="93" width="14.8984375" style="18" bestFit="1" customWidth="1"/>
    <col min="94" max="94" width="15.8984375" style="18" bestFit="1" customWidth="1"/>
    <col min="95" max="98" width="14.8984375" style="18" bestFit="1" customWidth="1"/>
    <col min="99" max="99" width="13.296875" style="18" bestFit="1" customWidth="1"/>
    <col min="100" max="100" width="12.09765625" style="18" bestFit="1" customWidth="1"/>
    <col min="101" max="105" width="14.8984375" style="18" bestFit="1" customWidth="1"/>
    <col min="106" max="108" width="13.296875" style="18" bestFit="1" customWidth="1"/>
    <col min="109" max="109" width="14.8984375" style="18" bestFit="1" customWidth="1"/>
    <col min="110" max="111" width="13.296875" style="18" bestFit="1" customWidth="1"/>
    <col min="112" max="112" width="14.8984375" style="18" bestFit="1" customWidth="1"/>
    <col min="113" max="113" width="15.8984375" style="18" bestFit="1" customWidth="1"/>
    <col min="114" max="116" width="14.8984375" style="18" bestFit="1" customWidth="1"/>
    <col min="117" max="117" width="13.296875" style="18" bestFit="1" customWidth="1"/>
    <col min="118" max="118" width="14.8984375" style="18" bestFit="1" customWidth="1"/>
    <col min="119" max="119" width="15.8984375" style="18" bestFit="1" customWidth="1"/>
    <col min="120" max="120" width="14.8984375" style="18" bestFit="1" customWidth="1"/>
    <col min="121" max="121" width="13.296875" style="18" bestFit="1" customWidth="1"/>
    <col min="122" max="123" width="14.8984375" style="18" bestFit="1" customWidth="1"/>
    <col min="124" max="124" width="13.296875" style="18" bestFit="1" customWidth="1"/>
    <col min="125" max="125" width="15.8984375" style="18" bestFit="1" customWidth="1"/>
    <col min="126" max="128" width="14.8984375" style="18" bestFit="1" customWidth="1"/>
    <col min="129" max="129" width="16.8984375" style="18" bestFit="1" customWidth="1"/>
    <col min="130" max="16384" width="9.09765625" style="18"/>
  </cols>
  <sheetData>
    <row r="1" spans="1:129" ht="32.5" x14ac:dyDescent="0.2">
      <c r="A1" s="17" t="s">
        <v>179</v>
      </c>
      <c r="B1" s="18"/>
    </row>
    <row r="3" spans="1:129" ht="18" customHeight="1" x14ac:dyDescent="0.2">
      <c r="B3" s="6" t="s">
        <v>40</v>
      </c>
      <c r="C3" s="49" t="s">
        <v>21</v>
      </c>
      <c r="D3" s="49" t="s">
        <v>22</v>
      </c>
      <c r="E3" s="49" t="s">
        <v>23</v>
      </c>
      <c r="F3" s="49" t="s">
        <v>24</v>
      </c>
      <c r="G3" s="49" t="s">
        <v>25</v>
      </c>
      <c r="H3" s="49" t="s">
        <v>26</v>
      </c>
      <c r="I3" s="49" t="s">
        <v>27</v>
      </c>
      <c r="J3" s="49" t="s">
        <v>28</v>
      </c>
      <c r="K3" s="49" t="s">
        <v>29</v>
      </c>
      <c r="L3" s="49" t="s">
        <v>30</v>
      </c>
      <c r="M3" s="49" t="s">
        <v>31</v>
      </c>
      <c r="N3" s="49" t="s">
        <v>32</v>
      </c>
      <c r="O3" s="49" t="s">
        <v>33</v>
      </c>
      <c r="P3" s="49" t="s">
        <v>34</v>
      </c>
      <c r="Q3" s="49" t="s">
        <v>35</v>
      </c>
      <c r="R3" s="49" t="s">
        <v>36</v>
      </c>
      <c r="S3" s="49" t="s">
        <v>37</v>
      </c>
      <c r="T3" s="49" t="s">
        <v>38</v>
      </c>
      <c r="U3" s="49" t="s">
        <v>46</v>
      </c>
      <c r="V3" s="49" t="s">
        <v>47</v>
      </c>
      <c r="W3" s="49" t="s">
        <v>48</v>
      </c>
      <c r="X3" s="49" t="s">
        <v>49</v>
      </c>
      <c r="Y3" s="49" t="s">
        <v>50</v>
      </c>
      <c r="Z3" s="49" t="s">
        <v>51</v>
      </c>
      <c r="AA3" s="49" t="s">
        <v>52</v>
      </c>
      <c r="AB3" s="49" t="s">
        <v>53</v>
      </c>
      <c r="AC3" s="49" t="s">
        <v>54</v>
      </c>
      <c r="AD3" s="49" t="s">
        <v>55</v>
      </c>
      <c r="AE3" s="49" t="s">
        <v>56</v>
      </c>
      <c r="AF3" s="49" t="s">
        <v>57</v>
      </c>
      <c r="AG3" s="49" t="s">
        <v>58</v>
      </c>
      <c r="AH3" s="49" t="s">
        <v>59</v>
      </c>
      <c r="AI3" s="49" t="s">
        <v>60</v>
      </c>
      <c r="AJ3" s="49" t="s">
        <v>61</v>
      </c>
      <c r="AK3" s="49" t="s">
        <v>62</v>
      </c>
      <c r="AL3" s="49" t="s">
        <v>63</v>
      </c>
      <c r="AM3" s="49" t="s">
        <v>64</v>
      </c>
      <c r="AN3" s="49" t="s">
        <v>65</v>
      </c>
      <c r="AO3" s="49" t="s">
        <v>66</v>
      </c>
      <c r="AP3" s="49" t="s">
        <v>67</v>
      </c>
      <c r="AQ3" s="49" t="s">
        <v>68</v>
      </c>
      <c r="AR3" s="49" t="s">
        <v>69</v>
      </c>
      <c r="AS3" s="49" t="s">
        <v>70</v>
      </c>
      <c r="AT3" s="49" t="s">
        <v>71</v>
      </c>
      <c r="AU3" s="49" t="s">
        <v>72</v>
      </c>
      <c r="AV3" s="49" t="s">
        <v>73</v>
      </c>
      <c r="AW3" s="49" t="s">
        <v>74</v>
      </c>
      <c r="AX3" s="49" t="s">
        <v>75</v>
      </c>
      <c r="AY3" s="49" t="s">
        <v>76</v>
      </c>
      <c r="AZ3" s="49" t="s">
        <v>77</v>
      </c>
      <c r="BA3" s="49" t="s">
        <v>78</v>
      </c>
      <c r="BB3" s="49" t="s">
        <v>79</v>
      </c>
      <c r="BC3" s="49" t="s">
        <v>80</v>
      </c>
      <c r="BD3" s="49" t="s">
        <v>81</v>
      </c>
      <c r="BE3" s="49" t="s">
        <v>82</v>
      </c>
      <c r="BF3" s="49" t="s">
        <v>83</v>
      </c>
      <c r="BG3" s="49" t="s">
        <v>84</v>
      </c>
      <c r="BH3" s="49" t="s">
        <v>85</v>
      </c>
      <c r="BI3" s="49" t="s">
        <v>86</v>
      </c>
      <c r="BJ3" s="49" t="s">
        <v>87</v>
      </c>
      <c r="BK3" s="49" t="s">
        <v>88</v>
      </c>
      <c r="BL3" s="49" t="s">
        <v>89</v>
      </c>
      <c r="BM3" s="49" t="s">
        <v>90</v>
      </c>
      <c r="BN3" s="49" t="s">
        <v>91</v>
      </c>
      <c r="BO3" s="49" t="s">
        <v>92</v>
      </c>
      <c r="BP3" s="49" t="s">
        <v>93</v>
      </c>
      <c r="BQ3" s="49" t="s">
        <v>94</v>
      </c>
      <c r="BR3" s="49" t="s">
        <v>95</v>
      </c>
      <c r="BS3" s="49" t="s">
        <v>96</v>
      </c>
      <c r="BT3" s="49" t="s">
        <v>97</v>
      </c>
      <c r="BU3" s="49" t="s">
        <v>98</v>
      </c>
      <c r="BV3" s="49" t="s">
        <v>99</v>
      </c>
      <c r="BW3" s="49" t="s">
        <v>100</v>
      </c>
      <c r="BX3" s="49" t="s">
        <v>101</v>
      </c>
      <c r="BY3" s="49" t="s">
        <v>102</v>
      </c>
      <c r="BZ3" s="49" t="s">
        <v>103</v>
      </c>
      <c r="CA3" s="49" t="s">
        <v>104</v>
      </c>
      <c r="CB3" s="49" t="s">
        <v>105</v>
      </c>
      <c r="CC3" s="49" t="s">
        <v>106</v>
      </c>
      <c r="CD3" s="49" t="s">
        <v>107</v>
      </c>
      <c r="CE3" s="49" t="s">
        <v>108</v>
      </c>
      <c r="CF3" s="49" t="s">
        <v>109</v>
      </c>
      <c r="CG3" s="49" t="s">
        <v>110</v>
      </c>
      <c r="CH3" s="49" t="s">
        <v>111</v>
      </c>
      <c r="CI3" s="49" t="s">
        <v>112</v>
      </c>
      <c r="CJ3" s="49" t="s">
        <v>113</v>
      </c>
      <c r="CK3" s="49" t="s">
        <v>114</v>
      </c>
      <c r="CL3" s="49" t="s">
        <v>115</v>
      </c>
      <c r="CM3" s="49" t="s">
        <v>116</v>
      </c>
      <c r="CN3" s="49" t="s">
        <v>117</v>
      </c>
      <c r="CO3" s="49" t="s">
        <v>118</v>
      </c>
      <c r="CP3" s="49" t="s">
        <v>119</v>
      </c>
      <c r="CQ3" s="49" t="s">
        <v>120</v>
      </c>
      <c r="CR3" s="49" t="s">
        <v>121</v>
      </c>
      <c r="CS3" s="49" t="s">
        <v>122</v>
      </c>
      <c r="CT3" s="49" t="s">
        <v>123</v>
      </c>
      <c r="CU3" s="49" t="s">
        <v>124</v>
      </c>
      <c r="CV3" s="49" t="s">
        <v>125</v>
      </c>
      <c r="CW3" s="49" t="s">
        <v>126</v>
      </c>
      <c r="CX3" s="49" t="s">
        <v>127</v>
      </c>
      <c r="CY3" s="49" t="s">
        <v>128</v>
      </c>
      <c r="CZ3" s="49" t="s">
        <v>129</v>
      </c>
      <c r="DA3" s="49" t="s">
        <v>130</v>
      </c>
      <c r="DB3" s="49" t="s">
        <v>131</v>
      </c>
      <c r="DC3" s="49" t="s">
        <v>132</v>
      </c>
      <c r="DD3" s="49" t="s">
        <v>133</v>
      </c>
      <c r="DE3" s="49" t="s">
        <v>134</v>
      </c>
      <c r="DF3" s="49" t="s">
        <v>135</v>
      </c>
      <c r="DG3" s="49" t="s">
        <v>136</v>
      </c>
      <c r="DH3" s="49" t="s">
        <v>137</v>
      </c>
      <c r="DI3" s="49" t="s">
        <v>138</v>
      </c>
      <c r="DJ3" s="49" t="s">
        <v>139</v>
      </c>
      <c r="DK3" s="49" t="s">
        <v>140</v>
      </c>
      <c r="DL3" s="49" t="s">
        <v>141</v>
      </c>
      <c r="DM3" s="49" t="s">
        <v>142</v>
      </c>
      <c r="DN3" s="49" t="s">
        <v>143</v>
      </c>
      <c r="DO3" s="49" t="s">
        <v>144</v>
      </c>
      <c r="DP3" s="49" t="s">
        <v>145</v>
      </c>
      <c r="DQ3" s="49" t="s">
        <v>146</v>
      </c>
      <c r="DR3" s="49" t="s">
        <v>147</v>
      </c>
      <c r="DS3" s="49" t="s">
        <v>148</v>
      </c>
      <c r="DT3" s="49" t="s">
        <v>149</v>
      </c>
      <c r="DU3" s="49" t="s">
        <v>150</v>
      </c>
      <c r="DV3" s="49" t="s">
        <v>151</v>
      </c>
      <c r="DW3" s="49" t="s">
        <v>152</v>
      </c>
      <c r="DX3" s="50" t="s">
        <v>153</v>
      </c>
    </row>
    <row r="4" spans="1:129" s="43" customFormat="1" ht="18" customHeight="1" x14ac:dyDescent="0.2">
      <c r="B4" s="51" t="s">
        <v>41</v>
      </c>
      <c r="C4" s="44" t="s">
        <v>154</v>
      </c>
      <c r="D4" s="44" t="s">
        <v>154</v>
      </c>
      <c r="E4" s="44" t="s">
        <v>154</v>
      </c>
      <c r="F4" s="44" t="s">
        <v>154</v>
      </c>
      <c r="G4" s="44" t="s">
        <v>154</v>
      </c>
      <c r="H4" s="44" t="s">
        <v>154</v>
      </c>
      <c r="I4" s="44" t="s">
        <v>154</v>
      </c>
      <c r="J4" s="44" t="s">
        <v>154</v>
      </c>
      <c r="K4" s="44" t="s">
        <v>154</v>
      </c>
      <c r="L4" s="44" t="s">
        <v>154</v>
      </c>
      <c r="M4" s="44" t="s">
        <v>154</v>
      </c>
      <c r="N4" s="44" t="s">
        <v>154</v>
      </c>
      <c r="O4" s="44" t="s">
        <v>154</v>
      </c>
      <c r="P4" s="44" t="s">
        <v>154</v>
      </c>
      <c r="Q4" s="44" t="s">
        <v>154</v>
      </c>
      <c r="R4" s="44" t="s">
        <v>154</v>
      </c>
      <c r="S4" s="44" t="s">
        <v>154</v>
      </c>
      <c r="T4" s="44" t="s">
        <v>154</v>
      </c>
      <c r="U4" s="44" t="s">
        <v>154</v>
      </c>
      <c r="V4" s="44" t="s">
        <v>154</v>
      </c>
      <c r="W4" s="44" t="s">
        <v>154</v>
      </c>
      <c r="X4" s="44" t="s">
        <v>154</v>
      </c>
      <c r="Y4" s="44" t="s">
        <v>154</v>
      </c>
      <c r="Z4" s="44" t="s">
        <v>154</v>
      </c>
      <c r="AA4" s="44" t="s">
        <v>154</v>
      </c>
      <c r="AB4" s="44" t="s">
        <v>154</v>
      </c>
      <c r="AC4" s="44" t="s">
        <v>154</v>
      </c>
      <c r="AD4" s="44" t="s">
        <v>154</v>
      </c>
      <c r="AE4" s="44" t="s">
        <v>154</v>
      </c>
      <c r="AF4" s="44" t="s">
        <v>154</v>
      </c>
      <c r="AG4" s="44" t="s">
        <v>154</v>
      </c>
      <c r="AH4" s="44" t="s">
        <v>154</v>
      </c>
      <c r="AI4" s="44" t="s">
        <v>154</v>
      </c>
      <c r="AJ4" s="44" t="s">
        <v>154</v>
      </c>
      <c r="AK4" s="44" t="s">
        <v>154</v>
      </c>
      <c r="AL4" s="44" t="s">
        <v>154</v>
      </c>
      <c r="AM4" s="44" t="s">
        <v>154</v>
      </c>
      <c r="AN4" s="44" t="s">
        <v>154</v>
      </c>
      <c r="AO4" s="44" t="s">
        <v>154</v>
      </c>
      <c r="AP4" s="44" t="s">
        <v>154</v>
      </c>
      <c r="AQ4" s="44" t="s">
        <v>154</v>
      </c>
      <c r="AR4" s="44" t="s">
        <v>154</v>
      </c>
      <c r="AS4" s="44" t="s">
        <v>154</v>
      </c>
      <c r="AT4" s="44" t="s">
        <v>154</v>
      </c>
      <c r="AU4" s="44" t="s">
        <v>154</v>
      </c>
      <c r="AV4" s="44" t="s">
        <v>154</v>
      </c>
      <c r="AW4" s="44" t="s">
        <v>154</v>
      </c>
      <c r="AX4" s="44" t="s">
        <v>154</v>
      </c>
      <c r="AY4" s="44" t="s">
        <v>154</v>
      </c>
      <c r="AZ4" s="44" t="s">
        <v>154</v>
      </c>
      <c r="BA4" s="44" t="s">
        <v>154</v>
      </c>
      <c r="BB4" s="44" t="s">
        <v>154</v>
      </c>
      <c r="BC4" s="44" t="s">
        <v>154</v>
      </c>
      <c r="BD4" s="44" t="s">
        <v>154</v>
      </c>
      <c r="BE4" s="44" t="s">
        <v>154</v>
      </c>
      <c r="BF4" s="44" t="s">
        <v>154</v>
      </c>
      <c r="BG4" s="44" t="s">
        <v>154</v>
      </c>
      <c r="BH4" s="44" t="s">
        <v>154</v>
      </c>
      <c r="BI4" s="44" t="s">
        <v>154</v>
      </c>
      <c r="BJ4" s="44" t="s">
        <v>154</v>
      </c>
      <c r="BK4" s="44" t="s">
        <v>154</v>
      </c>
      <c r="BL4" s="44" t="s">
        <v>154</v>
      </c>
      <c r="BM4" s="44" t="s">
        <v>154</v>
      </c>
      <c r="BN4" s="44" t="s">
        <v>154</v>
      </c>
      <c r="BO4" s="44" t="s">
        <v>154</v>
      </c>
      <c r="BP4" s="44" t="s">
        <v>154</v>
      </c>
      <c r="BQ4" s="44" t="s">
        <v>154</v>
      </c>
      <c r="BR4" s="44" t="s">
        <v>154</v>
      </c>
      <c r="BS4" s="44" t="s">
        <v>154</v>
      </c>
      <c r="BT4" s="44" t="s">
        <v>154</v>
      </c>
      <c r="BU4" s="44" t="s">
        <v>154</v>
      </c>
      <c r="BV4" s="44" t="s">
        <v>154</v>
      </c>
      <c r="BW4" s="44" t="s">
        <v>154</v>
      </c>
      <c r="BX4" s="44" t="s">
        <v>154</v>
      </c>
      <c r="BY4" s="44" t="s">
        <v>154</v>
      </c>
      <c r="BZ4" s="44" t="s">
        <v>154</v>
      </c>
      <c r="CA4" s="44" t="s">
        <v>154</v>
      </c>
      <c r="CB4" s="44" t="s">
        <v>154</v>
      </c>
      <c r="CC4" s="44" t="s">
        <v>154</v>
      </c>
      <c r="CD4" s="44" t="s">
        <v>154</v>
      </c>
      <c r="CE4" s="44" t="s">
        <v>154</v>
      </c>
      <c r="CF4" s="44" t="s">
        <v>154</v>
      </c>
      <c r="CG4" s="44" t="s">
        <v>154</v>
      </c>
      <c r="CH4" s="44" t="s">
        <v>154</v>
      </c>
      <c r="CI4" s="44" t="s">
        <v>154</v>
      </c>
      <c r="CJ4" s="44" t="s">
        <v>154</v>
      </c>
      <c r="CK4" s="44" t="s">
        <v>154</v>
      </c>
      <c r="CL4" s="44" t="s">
        <v>154</v>
      </c>
      <c r="CM4" s="44" t="s">
        <v>154</v>
      </c>
      <c r="CN4" s="44" t="s">
        <v>154</v>
      </c>
      <c r="CO4" s="44" t="s">
        <v>154</v>
      </c>
      <c r="CP4" s="44" t="s">
        <v>154</v>
      </c>
      <c r="CQ4" s="44" t="s">
        <v>154</v>
      </c>
      <c r="CR4" s="44" t="s">
        <v>154</v>
      </c>
      <c r="CS4" s="44" t="s">
        <v>154</v>
      </c>
      <c r="CT4" s="44" t="s">
        <v>154</v>
      </c>
      <c r="CU4" s="44" t="s">
        <v>154</v>
      </c>
      <c r="CV4" s="44" t="s">
        <v>154</v>
      </c>
      <c r="CW4" s="44" t="s">
        <v>154</v>
      </c>
      <c r="CX4" s="44" t="s">
        <v>154</v>
      </c>
      <c r="CY4" s="44" t="s">
        <v>154</v>
      </c>
      <c r="CZ4" s="44" t="s">
        <v>154</v>
      </c>
      <c r="DA4" s="44" t="s">
        <v>154</v>
      </c>
      <c r="DB4" s="44" t="s">
        <v>154</v>
      </c>
      <c r="DC4" s="44" t="s">
        <v>154</v>
      </c>
      <c r="DD4" s="44" t="s">
        <v>154</v>
      </c>
      <c r="DE4" s="44" t="s">
        <v>154</v>
      </c>
      <c r="DF4" s="44" t="s">
        <v>154</v>
      </c>
      <c r="DG4" s="44" t="s">
        <v>154</v>
      </c>
      <c r="DH4" s="44" t="s">
        <v>154</v>
      </c>
      <c r="DI4" s="44" t="s">
        <v>154</v>
      </c>
      <c r="DJ4" s="44" t="s">
        <v>154</v>
      </c>
      <c r="DK4" s="44" t="s">
        <v>154</v>
      </c>
      <c r="DL4" s="44" t="s">
        <v>154</v>
      </c>
      <c r="DM4" s="44" t="s">
        <v>154</v>
      </c>
      <c r="DN4" s="44" t="s">
        <v>154</v>
      </c>
      <c r="DO4" s="44" t="s">
        <v>154</v>
      </c>
      <c r="DP4" s="44" t="s">
        <v>154</v>
      </c>
      <c r="DQ4" s="44" t="s">
        <v>154</v>
      </c>
      <c r="DR4" s="44" t="s">
        <v>154</v>
      </c>
      <c r="DS4" s="44" t="s">
        <v>154</v>
      </c>
      <c r="DT4" s="44" t="s">
        <v>154</v>
      </c>
      <c r="DU4" s="44" t="s">
        <v>154</v>
      </c>
      <c r="DV4" s="44" t="s">
        <v>154</v>
      </c>
      <c r="DW4" s="44" t="s">
        <v>154</v>
      </c>
      <c r="DX4" s="45" t="s">
        <v>154</v>
      </c>
      <c r="DY4" s="18"/>
    </row>
    <row r="5" spans="1:129" ht="18" customHeight="1" x14ac:dyDescent="0.2">
      <c r="B5" s="51" t="s">
        <v>42</v>
      </c>
      <c r="C5" s="44">
        <v>1</v>
      </c>
      <c r="D5" s="44">
        <v>2</v>
      </c>
      <c r="E5" s="44">
        <v>3</v>
      </c>
      <c r="F5" s="44">
        <v>4</v>
      </c>
      <c r="G5" s="44">
        <v>5</v>
      </c>
      <c r="H5" s="44">
        <v>6</v>
      </c>
      <c r="I5" s="44">
        <v>7</v>
      </c>
      <c r="J5" s="44">
        <v>8</v>
      </c>
      <c r="K5" s="44">
        <v>9</v>
      </c>
      <c r="L5" s="44">
        <v>10</v>
      </c>
      <c r="M5" s="44">
        <v>11</v>
      </c>
      <c r="N5" s="44">
        <v>12</v>
      </c>
      <c r="O5" s="44">
        <v>13</v>
      </c>
      <c r="P5" s="44">
        <v>14</v>
      </c>
      <c r="Q5" s="44">
        <v>15</v>
      </c>
      <c r="R5" s="44">
        <v>16</v>
      </c>
      <c r="S5" s="44">
        <v>17</v>
      </c>
      <c r="T5" s="44">
        <v>18</v>
      </c>
      <c r="U5" s="44">
        <v>19</v>
      </c>
      <c r="V5" s="44">
        <v>20</v>
      </c>
      <c r="W5" s="44">
        <v>21</v>
      </c>
      <c r="X5" s="44">
        <v>22</v>
      </c>
      <c r="Y5" s="44">
        <v>23</v>
      </c>
      <c r="Z5" s="44">
        <v>24</v>
      </c>
      <c r="AA5" s="44">
        <v>25</v>
      </c>
      <c r="AB5" s="44">
        <v>26</v>
      </c>
      <c r="AC5" s="44">
        <v>27</v>
      </c>
      <c r="AD5" s="44">
        <v>28</v>
      </c>
      <c r="AE5" s="44">
        <v>29</v>
      </c>
      <c r="AF5" s="44">
        <v>30</v>
      </c>
      <c r="AG5" s="44">
        <v>31</v>
      </c>
      <c r="AH5" s="44">
        <v>32</v>
      </c>
      <c r="AI5" s="44">
        <v>33</v>
      </c>
      <c r="AJ5" s="44">
        <v>34</v>
      </c>
      <c r="AK5" s="44">
        <v>35</v>
      </c>
      <c r="AL5" s="44">
        <v>36</v>
      </c>
      <c r="AM5" s="44">
        <v>37</v>
      </c>
      <c r="AN5" s="44">
        <v>38</v>
      </c>
      <c r="AO5" s="44">
        <v>39</v>
      </c>
      <c r="AP5" s="44">
        <v>40</v>
      </c>
      <c r="AQ5" s="44">
        <v>41</v>
      </c>
      <c r="AR5" s="44">
        <v>42</v>
      </c>
      <c r="AS5" s="44">
        <v>43</v>
      </c>
      <c r="AT5" s="44">
        <v>44</v>
      </c>
      <c r="AU5" s="44">
        <v>45</v>
      </c>
      <c r="AV5" s="44">
        <v>46</v>
      </c>
      <c r="AW5" s="44">
        <v>47</v>
      </c>
      <c r="AX5" s="44">
        <v>48</v>
      </c>
      <c r="AY5" s="44">
        <v>49</v>
      </c>
      <c r="AZ5" s="44">
        <v>50</v>
      </c>
      <c r="BA5" s="44">
        <v>51</v>
      </c>
      <c r="BB5" s="44">
        <v>52</v>
      </c>
      <c r="BC5" s="44">
        <v>53</v>
      </c>
      <c r="BD5" s="44">
        <v>54</v>
      </c>
      <c r="BE5" s="44">
        <v>55</v>
      </c>
      <c r="BF5" s="44">
        <v>56</v>
      </c>
      <c r="BG5" s="44">
        <v>57</v>
      </c>
      <c r="BH5" s="44">
        <v>58</v>
      </c>
      <c r="BI5" s="44">
        <v>59</v>
      </c>
      <c r="BJ5" s="44">
        <v>60</v>
      </c>
      <c r="BK5" s="44">
        <v>61</v>
      </c>
      <c r="BL5" s="44">
        <v>62</v>
      </c>
      <c r="BM5" s="44">
        <v>63</v>
      </c>
      <c r="BN5" s="44">
        <v>64</v>
      </c>
      <c r="BO5" s="44">
        <v>65</v>
      </c>
      <c r="BP5" s="44">
        <v>66</v>
      </c>
      <c r="BQ5" s="44">
        <v>67</v>
      </c>
      <c r="BR5" s="44">
        <v>68</v>
      </c>
      <c r="BS5" s="44">
        <v>69</v>
      </c>
      <c r="BT5" s="44">
        <v>70</v>
      </c>
      <c r="BU5" s="44">
        <v>71</v>
      </c>
      <c r="BV5" s="44">
        <v>72</v>
      </c>
      <c r="BW5" s="44">
        <v>73</v>
      </c>
      <c r="BX5" s="44">
        <v>74</v>
      </c>
      <c r="BY5" s="44">
        <v>75</v>
      </c>
      <c r="BZ5" s="44">
        <v>76</v>
      </c>
      <c r="CA5" s="44">
        <v>77</v>
      </c>
      <c r="CB5" s="44">
        <v>78</v>
      </c>
      <c r="CC5" s="44">
        <v>79</v>
      </c>
      <c r="CD5" s="44">
        <v>80</v>
      </c>
      <c r="CE5" s="44">
        <v>81</v>
      </c>
      <c r="CF5" s="44">
        <v>82</v>
      </c>
      <c r="CG5" s="44">
        <v>83</v>
      </c>
      <c r="CH5" s="44">
        <v>84</v>
      </c>
      <c r="CI5" s="44">
        <v>85</v>
      </c>
      <c r="CJ5" s="44">
        <v>86</v>
      </c>
      <c r="CK5" s="44">
        <v>87</v>
      </c>
      <c r="CL5" s="44">
        <v>88</v>
      </c>
      <c r="CM5" s="44">
        <v>89</v>
      </c>
      <c r="CN5" s="44">
        <v>90</v>
      </c>
      <c r="CO5" s="44">
        <v>91</v>
      </c>
      <c r="CP5" s="44">
        <v>92</v>
      </c>
      <c r="CQ5" s="44">
        <v>93</v>
      </c>
      <c r="CR5" s="44">
        <v>94</v>
      </c>
      <c r="CS5" s="44">
        <v>95</v>
      </c>
      <c r="CT5" s="44">
        <v>96</v>
      </c>
      <c r="CU5" s="44">
        <v>97</v>
      </c>
      <c r="CV5" s="44">
        <v>98</v>
      </c>
      <c r="CW5" s="44">
        <v>99</v>
      </c>
      <c r="CX5" s="44">
        <v>100</v>
      </c>
      <c r="CY5" s="44">
        <v>101</v>
      </c>
      <c r="CZ5" s="44">
        <v>102</v>
      </c>
      <c r="DA5" s="44">
        <v>103</v>
      </c>
      <c r="DB5" s="44">
        <v>104</v>
      </c>
      <c r="DC5" s="44">
        <v>105</v>
      </c>
      <c r="DD5" s="44">
        <v>106</v>
      </c>
      <c r="DE5" s="44">
        <v>107</v>
      </c>
      <c r="DF5" s="44">
        <v>108</v>
      </c>
      <c r="DG5" s="44">
        <v>109</v>
      </c>
      <c r="DH5" s="44">
        <v>110</v>
      </c>
      <c r="DI5" s="44">
        <v>111</v>
      </c>
      <c r="DJ5" s="44">
        <v>112</v>
      </c>
      <c r="DK5" s="44">
        <v>113</v>
      </c>
      <c r="DL5" s="44">
        <v>114</v>
      </c>
      <c r="DM5" s="44">
        <v>115</v>
      </c>
      <c r="DN5" s="44">
        <v>116</v>
      </c>
      <c r="DO5" s="44">
        <v>117</v>
      </c>
      <c r="DP5" s="44">
        <v>118</v>
      </c>
      <c r="DQ5" s="44">
        <v>119</v>
      </c>
      <c r="DR5" s="44">
        <v>120</v>
      </c>
      <c r="DS5" s="44">
        <v>121</v>
      </c>
      <c r="DT5" s="44">
        <v>122</v>
      </c>
      <c r="DU5" s="44">
        <v>123</v>
      </c>
      <c r="DV5" s="44">
        <v>124</v>
      </c>
      <c r="DW5" s="44">
        <v>125</v>
      </c>
      <c r="DX5" s="45">
        <v>126</v>
      </c>
    </row>
    <row r="6" spans="1:129" ht="18" customHeight="1" x14ac:dyDescent="0.2">
      <c r="B6" s="51" t="s">
        <v>43</v>
      </c>
      <c r="C6" s="11" t="s">
        <v>44</v>
      </c>
      <c r="D6" s="11" t="s">
        <v>44</v>
      </c>
      <c r="E6" s="11" t="s">
        <v>44</v>
      </c>
      <c r="F6" s="11" t="s">
        <v>44</v>
      </c>
      <c r="G6" s="11" t="s">
        <v>44</v>
      </c>
      <c r="H6" s="11" t="s">
        <v>44</v>
      </c>
      <c r="I6" s="11" t="s">
        <v>44</v>
      </c>
      <c r="J6" s="11" t="s">
        <v>44</v>
      </c>
      <c r="K6" s="11" t="s">
        <v>44</v>
      </c>
      <c r="L6" s="11" t="s">
        <v>44</v>
      </c>
      <c r="M6" s="11" t="s">
        <v>44</v>
      </c>
      <c r="N6" s="11" t="s">
        <v>44</v>
      </c>
      <c r="O6" s="11" t="s">
        <v>44</v>
      </c>
      <c r="P6" s="11" t="s">
        <v>44</v>
      </c>
      <c r="Q6" s="11" t="s">
        <v>44</v>
      </c>
      <c r="R6" s="11" t="s">
        <v>44</v>
      </c>
      <c r="S6" s="11" t="s">
        <v>44</v>
      </c>
      <c r="T6" s="11" t="s">
        <v>44</v>
      </c>
      <c r="U6" s="11" t="s">
        <v>44</v>
      </c>
      <c r="V6" s="11" t="s">
        <v>44</v>
      </c>
      <c r="W6" s="11" t="s">
        <v>44</v>
      </c>
      <c r="X6" s="11" t="s">
        <v>44</v>
      </c>
      <c r="Y6" s="11" t="s">
        <v>44</v>
      </c>
      <c r="Z6" s="11" t="s">
        <v>44</v>
      </c>
      <c r="AA6" s="11" t="s">
        <v>44</v>
      </c>
      <c r="AB6" s="11" t="s">
        <v>44</v>
      </c>
      <c r="AC6" s="11" t="s">
        <v>44</v>
      </c>
      <c r="AD6" s="11" t="s">
        <v>44</v>
      </c>
      <c r="AE6" s="11" t="s">
        <v>44</v>
      </c>
      <c r="AF6" s="11" t="s">
        <v>44</v>
      </c>
      <c r="AG6" s="11" t="s">
        <v>44</v>
      </c>
      <c r="AH6" s="11" t="s">
        <v>44</v>
      </c>
      <c r="AI6" s="11" t="s">
        <v>44</v>
      </c>
      <c r="AJ6" s="11" t="s">
        <v>44</v>
      </c>
      <c r="AK6" s="11" t="s">
        <v>44</v>
      </c>
      <c r="AL6" s="11" t="s">
        <v>44</v>
      </c>
      <c r="AM6" s="11" t="s">
        <v>44</v>
      </c>
      <c r="AN6" s="11" t="s">
        <v>44</v>
      </c>
      <c r="AO6" s="11" t="s">
        <v>44</v>
      </c>
      <c r="AP6" s="11" t="s">
        <v>44</v>
      </c>
      <c r="AQ6" s="11" t="s">
        <v>44</v>
      </c>
      <c r="AR6" s="11" t="s">
        <v>44</v>
      </c>
      <c r="AS6" s="11" t="s">
        <v>44</v>
      </c>
      <c r="AT6" s="11" t="s">
        <v>44</v>
      </c>
      <c r="AU6" s="11" t="s">
        <v>44</v>
      </c>
      <c r="AV6" s="11" t="s">
        <v>44</v>
      </c>
      <c r="AW6" s="11" t="s">
        <v>44</v>
      </c>
      <c r="AX6" s="11" t="s">
        <v>44</v>
      </c>
      <c r="AY6" s="11" t="s">
        <v>44</v>
      </c>
      <c r="AZ6" s="11" t="s">
        <v>44</v>
      </c>
      <c r="BA6" s="11" t="s">
        <v>44</v>
      </c>
      <c r="BB6" s="11" t="s">
        <v>44</v>
      </c>
      <c r="BC6" s="11" t="s">
        <v>44</v>
      </c>
      <c r="BD6" s="11" t="s">
        <v>44</v>
      </c>
      <c r="BE6" s="11" t="s">
        <v>44</v>
      </c>
      <c r="BF6" s="11" t="s">
        <v>44</v>
      </c>
      <c r="BG6" s="11" t="s">
        <v>44</v>
      </c>
      <c r="BH6" s="11" t="s">
        <v>44</v>
      </c>
      <c r="BI6" s="11" t="s">
        <v>44</v>
      </c>
      <c r="BJ6" s="11" t="s">
        <v>44</v>
      </c>
      <c r="BK6" s="11" t="s">
        <v>44</v>
      </c>
      <c r="BL6" s="11" t="s">
        <v>44</v>
      </c>
      <c r="BM6" s="11" t="s">
        <v>44</v>
      </c>
      <c r="BN6" s="11" t="s">
        <v>44</v>
      </c>
      <c r="BO6" s="11" t="s">
        <v>44</v>
      </c>
      <c r="BP6" s="11" t="s">
        <v>44</v>
      </c>
      <c r="BQ6" s="11" t="s">
        <v>44</v>
      </c>
      <c r="BR6" s="11" t="s">
        <v>44</v>
      </c>
      <c r="BS6" s="11" t="s">
        <v>44</v>
      </c>
      <c r="BT6" s="11" t="s">
        <v>44</v>
      </c>
      <c r="BU6" s="11" t="s">
        <v>44</v>
      </c>
      <c r="BV6" s="11" t="s">
        <v>44</v>
      </c>
      <c r="BW6" s="11" t="s">
        <v>44</v>
      </c>
      <c r="BX6" s="11" t="s">
        <v>44</v>
      </c>
      <c r="BY6" s="11" t="s">
        <v>44</v>
      </c>
      <c r="BZ6" s="11" t="s">
        <v>44</v>
      </c>
      <c r="CA6" s="11" t="s">
        <v>44</v>
      </c>
      <c r="CB6" s="11" t="s">
        <v>44</v>
      </c>
      <c r="CC6" s="11" t="s">
        <v>44</v>
      </c>
      <c r="CD6" s="11" t="s">
        <v>44</v>
      </c>
      <c r="CE6" s="11" t="s">
        <v>44</v>
      </c>
      <c r="CF6" s="11" t="s">
        <v>44</v>
      </c>
      <c r="CG6" s="11" t="s">
        <v>44</v>
      </c>
      <c r="CH6" s="11" t="s">
        <v>44</v>
      </c>
      <c r="CI6" s="11" t="s">
        <v>44</v>
      </c>
      <c r="CJ6" s="11" t="s">
        <v>44</v>
      </c>
      <c r="CK6" s="11" t="s">
        <v>44</v>
      </c>
      <c r="CL6" s="11" t="s">
        <v>44</v>
      </c>
      <c r="CM6" s="11" t="s">
        <v>44</v>
      </c>
      <c r="CN6" s="11" t="s">
        <v>44</v>
      </c>
      <c r="CO6" s="11" t="s">
        <v>44</v>
      </c>
      <c r="CP6" s="11" t="s">
        <v>44</v>
      </c>
      <c r="CQ6" s="11" t="s">
        <v>44</v>
      </c>
      <c r="CR6" s="11" t="s">
        <v>44</v>
      </c>
      <c r="CS6" s="11" t="s">
        <v>44</v>
      </c>
      <c r="CT6" s="11" t="s">
        <v>44</v>
      </c>
      <c r="CU6" s="11" t="s">
        <v>44</v>
      </c>
      <c r="CV6" s="11" t="s">
        <v>44</v>
      </c>
      <c r="CW6" s="11" t="s">
        <v>44</v>
      </c>
      <c r="CX6" s="11" t="s">
        <v>44</v>
      </c>
      <c r="CY6" s="11" t="s">
        <v>44</v>
      </c>
      <c r="CZ6" s="11" t="s">
        <v>44</v>
      </c>
      <c r="DA6" s="11" t="s">
        <v>44</v>
      </c>
      <c r="DB6" s="11" t="s">
        <v>44</v>
      </c>
      <c r="DC6" s="11" t="s">
        <v>44</v>
      </c>
      <c r="DD6" s="11" t="s">
        <v>44</v>
      </c>
      <c r="DE6" s="11" t="s">
        <v>44</v>
      </c>
      <c r="DF6" s="11" t="s">
        <v>44</v>
      </c>
      <c r="DG6" s="11" t="s">
        <v>44</v>
      </c>
      <c r="DH6" s="11" t="s">
        <v>44</v>
      </c>
      <c r="DI6" s="11" t="s">
        <v>44</v>
      </c>
      <c r="DJ6" s="11" t="s">
        <v>44</v>
      </c>
      <c r="DK6" s="11" t="s">
        <v>44</v>
      </c>
      <c r="DL6" s="11" t="s">
        <v>44</v>
      </c>
      <c r="DM6" s="11" t="s">
        <v>44</v>
      </c>
      <c r="DN6" s="11" t="s">
        <v>44</v>
      </c>
      <c r="DO6" s="11" t="s">
        <v>44</v>
      </c>
      <c r="DP6" s="11" t="s">
        <v>44</v>
      </c>
      <c r="DQ6" s="11" t="s">
        <v>44</v>
      </c>
      <c r="DR6" s="11" t="s">
        <v>44</v>
      </c>
      <c r="DS6" s="11" t="s">
        <v>44</v>
      </c>
      <c r="DT6" s="11" t="s">
        <v>44</v>
      </c>
      <c r="DU6" s="11" t="s">
        <v>44</v>
      </c>
      <c r="DV6" s="11" t="s">
        <v>44</v>
      </c>
      <c r="DW6" s="11" t="s">
        <v>44</v>
      </c>
      <c r="DX6" s="46" t="s">
        <v>44</v>
      </c>
    </row>
    <row r="7" spans="1:129" ht="18" customHeight="1" x14ac:dyDescent="0.2">
      <c r="B7" s="51" t="s">
        <v>39</v>
      </c>
      <c r="C7" s="44">
        <v>2000000</v>
      </c>
      <c r="D7" s="44">
        <v>4000000</v>
      </c>
      <c r="E7" s="44">
        <v>78000000</v>
      </c>
      <c r="F7" s="44">
        <v>15000000</v>
      </c>
      <c r="G7" s="44">
        <v>5000000</v>
      </c>
      <c r="H7" s="44">
        <v>1000000</v>
      </c>
      <c r="I7" s="44">
        <v>10000000</v>
      </c>
      <c r="J7" s="44">
        <v>20000000</v>
      </c>
      <c r="K7" s="44">
        <v>3000000</v>
      </c>
      <c r="L7" s="44">
        <v>25000000</v>
      </c>
      <c r="M7" s="44">
        <v>15000000</v>
      </c>
      <c r="N7" s="44">
        <v>15000000</v>
      </c>
      <c r="O7" s="44">
        <v>13000000</v>
      </c>
      <c r="P7" s="44">
        <v>500000000</v>
      </c>
      <c r="Q7" s="44">
        <v>5000000</v>
      </c>
      <c r="R7" s="44">
        <v>200000000</v>
      </c>
      <c r="S7" s="44">
        <v>3000000</v>
      </c>
      <c r="T7" s="44">
        <v>50000000</v>
      </c>
      <c r="U7" s="44">
        <v>50000000</v>
      </c>
      <c r="V7" s="44">
        <v>2000000</v>
      </c>
      <c r="W7" s="44">
        <v>35000000</v>
      </c>
      <c r="X7" s="44">
        <v>30000000</v>
      </c>
      <c r="Y7" s="44">
        <v>10000000</v>
      </c>
      <c r="Z7" s="44">
        <v>65000000</v>
      </c>
      <c r="AA7" s="44">
        <v>3000000</v>
      </c>
      <c r="AB7" s="44">
        <v>7000000</v>
      </c>
      <c r="AC7" s="44">
        <v>10000000</v>
      </c>
      <c r="AD7" s="44">
        <v>5000000</v>
      </c>
      <c r="AE7" s="44">
        <v>10000000</v>
      </c>
      <c r="AF7" s="44">
        <v>4000000</v>
      </c>
      <c r="AG7" s="44">
        <v>67450000</v>
      </c>
      <c r="AH7" s="44">
        <v>200000000</v>
      </c>
      <c r="AI7" s="44">
        <v>126400000</v>
      </c>
      <c r="AJ7" s="44">
        <v>2000000</v>
      </c>
      <c r="AK7" s="44">
        <v>2000000</v>
      </c>
      <c r="AL7" s="44">
        <v>3000000</v>
      </c>
      <c r="AM7" s="44">
        <v>50000000</v>
      </c>
      <c r="AN7" s="44">
        <v>85000000</v>
      </c>
      <c r="AO7" s="44">
        <v>25000000</v>
      </c>
      <c r="AP7" s="44">
        <v>2000000</v>
      </c>
      <c r="AQ7" s="44">
        <v>5000000</v>
      </c>
      <c r="AR7" s="44">
        <v>6000000</v>
      </c>
      <c r="AS7" s="44">
        <v>16000000</v>
      </c>
      <c r="AT7" s="44">
        <v>100000000</v>
      </c>
      <c r="AU7" s="44">
        <v>12500000</v>
      </c>
      <c r="AV7" s="44">
        <v>4000000</v>
      </c>
      <c r="AW7" s="44">
        <v>1000000</v>
      </c>
      <c r="AX7" s="44">
        <v>25000000</v>
      </c>
      <c r="AY7" s="44">
        <v>10000000</v>
      </c>
      <c r="AZ7" s="44">
        <v>12500000</v>
      </c>
      <c r="BA7" s="44">
        <v>80000000</v>
      </c>
      <c r="BB7" s="44">
        <v>5000000</v>
      </c>
      <c r="BC7" s="44">
        <v>40000000</v>
      </c>
      <c r="BD7" s="44">
        <v>10000000</v>
      </c>
      <c r="BE7" s="44">
        <v>3637500</v>
      </c>
      <c r="BF7" s="44">
        <v>5000000</v>
      </c>
      <c r="BG7" s="44">
        <v>25000000</v>
      </c>
      <c r="BH7" s="44">
        <v>25000000</v>
      </c>
      <c r="BI7" s="44">
        <v>25000000</v>
      </c>
      <c r="BJ7" s="44">
        <v>25000000</v>
      </c>
      <c r="BK7" s="44">
        <v>1125000</v>
      </c>
      <c r="BL7" s="44">
        <v>15000000</v>
      </c>
      <c r="BM7" s="44">
        <v>15000000</v>
      </c>
      <c r="BN7" s="44">
        <v>2500000</v>
      </c>
      <c r="BO7" s="44">
        <v>230000000</v>
      </c>
      <c r="BP7" s="44">
        <v>10000000</v>
      </c>
      <c r="BQ7" s="44">
        <v>1000000</v>
      </c>
      <c r="BR7" s="44">
        <v>32000000</v>
      </c>
      <c r="BS7" s="44">
        <v>2000000</v>
      </c>
      <c r="BT7" s="44">
        <v>1000000</v>
      </c>
      <c r="BU7" s="44">
        <v>10000000</v>
      </c>
      <c r="BV7" s="44">
        <v>10000000</v>
      </c>
      <c r="BW7" s="44">
        <v>5000000</v>
      </c>
      <c r="BX7" s="44">
        <v>10000000</v>
      </c>
      <c r="BY7" s="44">
        <v>1000000</v>
      </c>
      <c r="BZ7" s="44">
        <v>32500000</v>
      </c>
      <c r="CA7" s="44">
        <v>35000000</v>
      </c>
      <c r="CB7" s="44">
        <v>40000000</v>
      </c>
      <c r="CC7" s="44">
        <v>36100000</v>
      </c>
      <c r="CD7" s="44">
        <v>60000000</v>
      </c>
      <c r="CE7" s="44">
        <v>10000000</v>
      </c>
      <c r="CF7" s="44">
        <v>2000000</v>
      </c>
      <c r="CG7" s="44">
        <v>2000000</v>
      </c>
      <c r="CH7" s="44">
        <v>100000000</v>
      </c>
      <c r="CI7" s="44">
        <v>1000000</v>
      </c>
      <c r="CJ7" s="44">
        <v>15000000</v>
      </c>
      <c r="CK7" s="44">
        <v>30000000</v>
      </c>
      <c r="CL7" s="44">
        <v>15000000</v>
      </c>
      <c r="CM7" s="44">
        <v>4431250</v>
      </c>
      <c r="CN7" s="44">
        <v>15000000</v>
      </c>
      <c r="CO7" s="44">
        <v>38500000</v>
      </c>
      <c r="CP7" s="44">
        <v>250000000</v>
      </c>
      <c r="CQ7" s="44">
        <v>25000000</v>
      </c>
      <c r="CR7" s="44">
        <v>85000000</v>
      </c>
      <c r="CS7" s="44">
        <v>10000000</v>
      </c>
      <c r="CT7" s="44">
        <v>50000000</v>
      </c>
      <c r="CU7" s="44">
        <v>1000000</v>
      </c>
      <c r="CV7" s="44">
        <v>375000</v>
      </c>
      <c r="CW7" s="44">
        <v>40000000</v>
      </c>
      <c r="CX7" s="44">
        <v>50000000</v>
      </c>
      <c r="CY7" s="44">
        <v>30000000</v>
      </c>
      <c r="CZ7" s="44">
        <v>18000000</v>
      </c>
      <c r="DA7" s="44">
        <v>10000000</v>
      </c>
      <c r="DB7" s="44">
        <v>5000000</v>
      </c>
      <c r="DC7" s="44">
        <v>6000000</v>
      </c>
      <c r="DD7" s="44">
        <v>5000000</v>
      </c>
      <c r="DE7" s="44">
        <v>75000000</v>
      </c>
      <c r="DF7" s="44">
        <v>5000000</v>
      </c>
      <c r="DG7" s="44">
        <v>7500000</v>
      </c>
      <c r="DH7" s="44">
        <v>10000000</v>
      </c>
      <c r="DI7" s="44">
        <v>100000000</v>
      </c>
      <c r="DJ7" s="44">
        <v>23000000</v>
      </c>
      <c r="DK7" s="44">
        <v>30000000</v>
      </c>
      <c r="DL7" s="44">
        <v>50000000</v>
      </c>
      <c r="DM7" s="44">
        <v>3000000</v>
      </c>
      <c r="DN7" s="44">
        <v>20000000</v>
      </c>
      <c r="DO7" s="44">
        <v>407550000</v>
      </c>
      <c r="DP7" s="44">
        <v>30000000</v>
      </c>
      <c r="DQ7" s="44">
        <v>4431250</v>
      </c>
      <c r="DR7" s="44">
        <v>11000000</v>
      </c>
      <c r="DS7" s="44">
        <v>25000000</v>
      </c>
      <c r="DT7" s="44">
        <v>5000000</v>
      </c>
      <c r="DU7" s="44">
        <v>100000000</v>
      </c>
      <c r="DV7" s="44">
        <v>10000000</v>
      </c>
      <c r="DW7" s="44">
        <v>11500000</v>
      </c>
      <c r="DX7" s="45">
        <v>15000000</v>
      </c>
    </row>
    <row r="8" spans="1:129" ht="18" customHeight="1" x14ac:dyDescent="0.2">
      <c r="B8" s="52" t="s">
        <v>45</v>
      </c>
      <c r="C8" s="47">
        <v>1229026.98</v>
      </c>
      <c r="D8" s="47">
        <v>2458105.9900000002</v>
      </c>
      <c r="E8" s="47">
        <v>46089447.880000003</v>
      </c>
      <c r="F8" s="47">
        <v>10217750.140000001</v>
      </c>
      <c r="G8" s="47">
        <v>4072488.73</v>
      </c>
      <c r="H8" s="47">
        <v>614525.06999999995</v>
      </c>
      <c r="I8" s="47">
        <v>6145217.25</v>
      </c>
      <c r="J8" s="47">
        <v>13290436.720000001</v>
      </c>
      <c r="K8" s="47">
        <v>1843549.96</v>
      </c>
      <c r="L8" s="47">
        <v>15363149.550000001</v>
      </c>
      <c r="M8" s="47">
        <v>9217869.8499999996</v>
      </c>
      <c r="N8" s="47">
        <v>9217750.1400000006</v>
      </c>
      <c r="O8" s="47">
        <v>7988838.2599999998</v>
      </c>
      <c r="P8" s="47">
        <v>307264131.88</v>
      </c>
      <c r="Q8" s="47">
        <v>4072607.61</v>
      </c>
      <c r="R8" s="47">
        <v>122906203.89</v>
      </c>
      <c r="S8" s="47">
        <v>1843577.5</v>
      </c>
      <c r="T8" s="47">
        <v>45725981.990000002</v>
      </c>
      <c r="U8" s="47">
        <v>30726297.18</v>
      </c>
      <c r="V8" s="47">
        <v>1369033.74</v>
      </c>
      <c r="W8" s="47">
        <v>21508586.050000001</v>
      </c>
      <c r="X8" s="47">
        <v>18435483.73</v>
      </c>
      <c r="Y8" s="47">
        <v>6145161.2400000002</v>
      </c>
      <c r="Z8" s="47">
        <v>39944329.240000002</v>
      </c>
      <c r="AA8" s="47">
        <v>1843631.88</v>
      </c>
      <c r="AB8" s="47">
        <v>4301600.8899999997</v>
      </c>
      <c r="AC8" s="47">
        <v>6145220.3200000003</v>
      </c>
      <c r="AD8" s="47">
        <v>3072628.64</v>
      </c>
      <c r="AE8" s="47">
        <v>6145258.6200000001</v>
      </c>
      <c r="AF8" s="47">
        <v>2458103.96</v>
      </c>
      <c r="AG8" s="47">
        <v>41448928.810000002</v>
      </c>
      <c r="AH8" s="47">
        <v>122906330.44</v>
      </c>
      <c r="AI8" s="47">
        <v>77675655.459999993</v>
      </c>
      <c r="AJ8" s="47">
        <v>1229052.06</v>
      </c>
      <c r="AK8" s="47">
        <v>1229033.74</v>
      </c>
      <c r="AL8" s="47">
        <v>1843549.96</v>
      </c>
      <c r="AM8" s="47">
        <v>30725981.989999998</v>
      </c>
      <c r="AN8" s="47">
        <v>52234203.689999998</v>
      </c>
      <c r="AO8" s="47">
        <v>15363133.369999999</v>
      </c>
      <c r="AP8" s="47">
        <v>1229052.06</v>
      </c>
      <c r="AQ8" s="47">
        <v>3072582.73</v>
      </c>
      <c r="AR8" s="47">
        <v>3687100.83</v>
      </c>
      <c r="AS8" s="47">
        <v>9828190.5099999998</v>
      </c>
      <c r="AT8" s="47">
        <v>61452531.090000004</v>
      </c>
      <c r="AU8" s="47">
        <v>7681460.8499999996</v>
      </c>
      <c r="AV8" s="47">
        <v>2458069.2799999998</v>
      </c>
      <c r="AW8" s="47">
        <v>814525.07</v>
      </c>
      <c r="AX8" s="47">
        <v>15363149.550000001</v>
      </c>
      <c r="AY8" s="47">
        <v>6145258.6200000001</v>
      </c>
      <c r="AZ8" s="47">
        <v>7681575.5899999999</v>
      </c>
      <c r="BA8" s="47">
        <v>49162016.079999998</v>
      </c>
      <c r="BB8" s="47">
        <v>3072628.63</v>
      </c>
      <c r="BC8" s="47">
        <v>24580671.66</v>
      </c>
      <c r="BD8" s="47">
        <v>6145220.3200000003</v>
      </c>
      <c r="BE8" s="47">
        <v>2235293.54</v>
      </c>
      <c r="BF8" s="47">
        <v>3072607.61</v>
      </c>
      <c r="BG8" s="47">
        <v>15356349.720000001</v>
      </c>
      <c r="BH8" s="47">
        <v>15362920.08</v>
      </c>
      <c r="BI8" s="47">
        <v>15363133.369999999</v>
      </c>
      <c r="BJ8" s="47">
        <v>15362920.08</v>
      </c>
      <c r="BK8" s="47">
        <v>691342.86</v>
      </c>
      <c r="BL8" s="47">
        <v>9217828.8800000008</v>
      </c>
      <c r="BM8" s="47">
        <v>9217966.5600000005</v>
      </c>
      <c r="BN8" s="47">
        <v>1536294.11</v>
      </c>
      <c r="BO8" s="47">
        <v>141340182.88</v>
      </c>
      <c r="BP8" s="47">
        <v>6142619.6900000004</v>
      </c>
      <c r="BQ8" s="47">
        <v>614525.06999999995</v>
      </c>
      <c r="BR8" s="47">
        <v>19664538.68</v>
      </c>
      <c r="BS8" s="47">
        <v>1229052.06</v>
      </c>
      <c r="BT8" s="47">
        <v>614525.06999999995</v>
      </c>
      <c r="BU8" s="47">
        <v>6145312.1100000003</v>
      </c>
      <c r="BV8" s="47">
        <v>6145160.2999999998</v>
      </c>
      <c r="BW8" s="47">
        <v>3072582.76</v>
      </c>
      <c r="BX8" s="47">
        <v>6145253.4100000001</v>
      </c>
      <c r="BY8" s="47">
        <v>614515.87</v>
      </c>
      <c r="BZ8" s="47">
        <v>19971794.629999999</v>
      </c>
      <c r="CA8" s="47">
        <v>21508289.710000001</v>
      </c>
      <c r="CB8" s="47">
        <v>24570497.93</v>
      </c>
      <c r="CC8" s="47">
        <v>22173775.309999999</v>
      </c>
      <c r="CD8" s="47">
        <v>36855747.439999998</v>
      </c>
      <c r="CE8" s="47">
        <v>6145165.04</v>
      </c>
      <c r="CF8" s="47">
        <v>1229052.06</v>
      </c>
      <c r="CG8" s="47">
        <v>1229052.06</v>
      </c>
      <c r="CH8" s="47">
        <v>61453106.759999998</v>
      </c>
      <c r="CI8" s="47">
        <v>614525.06999999995</v>
      </c>
      <c r="CJ8" s="47">
        <v>9217793.3800000008</v>
      </c>
      <c r="CK8" s="47">
        <v>18427874.43</v>
      </c>
      <c r="CL8" s="47">
        <v>9213937.4499999993</v>
      </c>
      <c r="CM8" s="47">
        <v>2723063.29</v>
      </c>
      <c r="CN8" s="47">
        <v>9217887.8200000003</v>
      </c>
      <c r="CO8" s="47">
        <v>23659224.77</v>
      </c>
      <c r="CP8" s="47">
        <v>153630617.72999999</v>
      </c>
      <c r="CQ8" s="47">
        <v>15362920.08</v>
      </c>
      <c r="CR8" s="47">
        <v>52234893.700000003</v>
      </c>
      <c r="CS8" s="47">
        <v>6145312.1100000003</v>
      </c>
      <c r="CT8" s="47">
        <v>30726554.07</v>
      </c>
      <c r="CU8" s="47">
        <v>614525.06999999995</v>
      </c>
      <c r="CV8" s="47">
        <v>230448.41</v>
      </c>
      <c r="CW8" s="47">
        <v>24580874.399999999</v>
      </c>
      <c r="CX8" s="47">
        <v>30725807.329999998</v>
      </c>
      <c r="CY8" s="47">
        <v>18435503.359999999</v>
      </c>
      <c r="CZ8" s="47">
        <v>11061302.939999999</v>
      </c>
      <c r="DA8" s="47">
        <v>6145247.7199999997</v>
      </c>
      <c r="DB8" s="47">
        <v>3072653.51</v>
      </c>
      <c r="DC8" s="47">
        <v>3687100.83</v>
      </c>
      <c r="DD8" s="47">
        <v>3072653.51</v>
      </c>
      <c r="DE8" s="47">
        <v>46089662.100000001</v>
      </c>
      <c r="DF8" s="47">
        <v>3072626.03</v>
      </c>
      <c r="DG8" s="47">
        <v>4608982.3099999996</v>
      </c>
      <c r="DH8" s="47">
        <v>6145220.3200000003</v>
      </c>
      <c r="DI8" s="47">
        <v>61452635.409999996</v>
      </c>
      <c r="DJ8" s="47">
        <v>14134097.34</v>
      </c>
      <c r="DK8" s="47">
        <v>18435503.359999999</v>
      </c>
      <c r="DL8" s="47">
        <v>30726128.43</v>
      </c>
      <c r="DM8" s="47">
        <v>1843539.83</v>
      </c>
      <c r="DN8" s="47">
        <v>12290563.73</v>
      </c>
      <c r="DO8" s="47">
        <v>250448805.11000001</v>
      </c>
      <c r="DP8" s="47">
        <v>18435845.390000001</v>
      </c>
      <c r="DQ8" s="47">
        <v>2723063.29</v>
      </c>
      <c r="DR8" s="47">
        <v>6145166.8200000003</v>
      </c>
      <c r="DS8" s="47">
        <v>15356560.189999999</v>
      </c>
      <c r="DT8" s="47">
        <v>3072628.63</v>
      </c>
      <c r="DU8" s="47">
        <v>61452259.18</v>
      </c>
      <c r="DV8" s="47">
        <v>6145224.8799999999</v>
      </c>
      <c r="DW8" s="47">
        <v>7067041.6399999997</v>
      </c>
      <c r="DX8" s="48">
        <v>9217750.1400000006</v>
      </c>
    </row>
    <row r="9" spans="1:129" ht="33" customHeight="1" x14ac:dyDescent="0.2"/>
    <row r="10" spans="1:129" ht="18" customHeight="1" x14ac:dyDescent="0.2">
      <c r="B10" s="53" t="s">
        <v>155</v>
      </c>
      <c r="C10" s="49" t="s">
        <v>21</v>
      </c>
      <c r="D10" s="49" t="s">
        <v>22</v>
      </c>
      <c r="E10" s="49" t="s">
        <v>23</v>
      </c>
      <c r="F10" s="49" t="s">
        <v>24</v>
      </c>
      <c r="G10" s="49" t="s">
        <v>25</v>
      </c>
      <c r="H10" s="49" t="s">
        <v>26</v>
      </c>
      <c r="I10" s="49" t="s">
        <v>27</v>
      </c>
      <c r="J10" s="49" t="s">
        <v>28</v>
      </c>
      <c r="K10" s="49" t="s">
        <v>29</v>
      </c>
      <c r="L10" s="49" t="s">
        <v>30</v>
      </c>
      <c r="M10" s="49" t="s">
        <v>31</v>
      </c>
      <c r="N10" s="49" t="s">
        <v>32</v>
      </c>
      <c r="O10" s="49" t="s">
        <v>33</v>
      </c>
      <c r="P10" s="49" t="s">
        <v>34</v>
      </c>
      <c r="Q10" s="49" t="s">
        <v>35</v>
      </c>
      <c r="R10" s="49" t="s">
        <v>36</v>
      </c>
      <c r="S10" s="49" t="s">
        <v>37</v>
      </c>
      <c r="T10" s="49" t="s">
        <v>38</v>
      </c>
      <c r="U10" s="49" t="s">
        <v>46</v>
      </c>
      <c r="V10" s="49" t="s">
        <v>47</v>
      </c>
      <c r="W10" s="49" t="s">
        <v>48</v>
      </c>
      <c r="X10" s="49" t="s">
        <v>49</v>
      </c>
      <c r="Y10" s="49" t="s">
        <v>50</v>
      </c>
      <c r="Z10" s="49" t="s">
        <v>51</v>
      </c>
      <c r="AA10" s="49" t="s">
        <v>52</v>
      </c>
      <c r="AB10" s="49" t="s">
        <v>53</v>
      </c>
      <c r="AC10" s="49" t="s">
        <v>54</v>
      </c>
      <c r="AD10" s="49" t="s">
        <v>55</v>
      </c>
      <c r="AE10" s="49" t="s">
        <v>56</v>
      </c>
      <c r="AF10" s="49" t="s">
        <v>57</v>
      </c>
      <c r="AG10" s="49" t="s">
        <v>58</v>
      </c>
      <c r="AH10" s="49" t="s">
        <v>59</v>
      </c>
      <c r="AI10" s="49" t="s">
        <v>60</v>
      </c>
      <c r="AJ10" s="49" t="s">
        <v>61</v>
      </c>
      <c r="AK10" s="49" t="s">
        <v>62</v>
      </c>
      <c r="AL10" s="49" t="s">
        <v>63</v>
      </c>
      <c r="AM10" s="49" t="s">
        <v>64</v>
      </c>
      <c r="AN10" s="49" t="s">
        <v>65</v>
      </c>
      <c r="AO10" s="49" t="s">
        <v>66</v>
      </c>
      <c r="AP10" s="49" t="s">
        <v>67</v>
      </c>
      <c r="AQ10" s="49" t="s">
        <v>68</v>
      </c>
      <c r="AR10" s="49" t="s">
        <v>69</v>
      </c>
      <c r="AS10" s="49" t="s">
        <v>70</v>
      </c>
      <c r="AT10" s="49" t="s">
        <v>71</v>
      </c>
      <c r="AU10" s="49" t="s">
        <v>72</v>
      </c>
      <c r="AV10" s="49" t="s">
        <v>73</v>
      </c>
      <c r="AW10" s="49" t="s">
        <v>74</v>
      </c>
      <c r="AX10" s="49" t="s">
        <v>75</v>
      </c>
      <c r="AY10" s="49" t="s">
        <v>76</v>
      </c>
      <c r="AZ10" s="49" t="s">
        <v>77</v>
      </c>
      <c r="BA10" s="49" t="s">
        <v>78</v>
      </c>
      <c r="BB10" s="49" t="s">
        <v>79</v>
      </c>
      <c r="BC10" s="49" t="s">
        <v>80</v>
      </c>
      <c r="BD10" s="49" t="s">
        <v>81</v>
      </c>
      <c r="BE10" s="49" t="s">
        <v>82</v>
      </c>
      <c r="BF10" s="49" t="s">
        <v>83</v>
      </c>
      <c r="BG10" s="49" t="s">
        <v>84</v>
      </c>
      <c r="BH10" s="49" t="s">
        <v>85</v>
      </c>
      <c r="BI10" s="49" t="s">
        <v>86</v>
      </c>
      <c r="BJ10" s="49" t="s">
        <v>87</v>
      </c>
      <c r="BK10" s="49" t="s">
        <v>88</v>
      </c>
      <c r="BL10" s="49" t="s">
        <v>89</v>
      </c>
      <c r="BM10" s="49" t="s">
        <v>90</v>
      </c>
      <c r="BN10" s="49" t="s">
        <v>91</v>
      </c>
      <c r="BO10" s="49" t="s">
        <v>92</v>
      </c>
      <c r="BP10" s="49" t="s">
        <v>93</v>
      </c>
      <c r="BQ10" s="49" t="s">
        <v>94</v>
      </c>
      <c r="BR10" s="49" t="s">
        <v>95</v>
      </c>
      <c r="BS10" s="49" t="s">
        <v>96</v>
      </c>
      <c r="BT10" s="49" t="s">
        <v>97</v>
      </c>
      <c r="BU10" s="49" t="s">
        <v>98</v>
      </c>
      <c r="BV10" s="49" t="s">
        <v>99</v>
      </c>
      <c r="BW10" s="49" t="s">
        <v>100</v>
      </c>
      <c r="BX10" s="49" t="s">
        <v>101</v>
      </c>
      <c r="BY10" s="49" t="s">
        <v>102</v>
      </c>
      <c r="BZ10" s="49" t="s">
        <v>103</v>
      </c>
      <c r="CA10" s="49" t="s">
        <v>104</v>
      </c>
      <c r="CB10" s="49" t="s">
        <v>105</v>
      </c>
      <c r="CC10" s="49" t="s">
        <v>106</v>
      </c>
      <c r="CD10" s="49" t="s">
        <v>107</v>
      </c>
      <c r="CE10" s="49" t="s">
        <v>108</v>
      </c>
      <c r="CF10" s="49" t="s">
        <v>109</v>
      </c>
      <c r="CG10" s="49" t="s">
        <v>110</v>
      </c>
      <c r="CH10" s="49" t="s">
        <v>111</v>
      </c>
      <c r="CI10" s="49" t="s">
        <v>112</v>
      </c>
      <c r="CJ10" s="49" t="s">
        <v>113</v>
      </c>
      <c r="CK10" s="49" t="s">
        <v>114</v>
      </c>
      <c r="CL10" s="49" t="s">
        <v>115</v>
      </c>
      <c r="CM10" s="49" t="s">
        <v>116</v>
      </c>
      <c r="CN10" s="49" t="s">
        <v>117</v>
      </c>
      <c r="CO10" s="49" t="s">
        <v>118</v>
      </c>
      <c r="CP10" s="49" t="s">
        <v>119</v>
      </c>
      <c r="CQ10" s="49" t="s">
        <v>120</v>
      </c>
      <c r="CR10" s="49" t="s">
        <v>121</v>
      </c>
      <c r="CS10" s="49" t="s">
        <v>122</v>
      </c>
      <c r="CT10" s="49" t="s">
        <v>123</v>
      </c>
      <c r="CU10" s="49" t="s">
        <v>124</v>
      </c>
      <c r="CV10" s="49" t="s">
        <v>125</v>
      </c>
      <c r="CW10" s="49" t="s">
        <v>126</v>
      </c>
      <c r="CX10" s="49" t="s">
        <v>127</v>
      </c>
      <c r="CY10" s="49" t="s">
        <v>128</v>
      </c>
      <c r="CZ10" s="49" t="s">
        <v>129</v>
      </c>
      <c r="DA10" s="49" t="s">
        <v>130</v>
      </c>
      <c r="DB10" s="49" t="s">
        <v>131</v>
      </c>
      <c r="DC10" s="49" t="s">
        <v>132</v>
      </c>
      <c r="DD10" s="49" t="s">
        <v>133</v>
      </c>
      <c r="DE10" s="49" t="s">
        <v>134</v>
      </c>
      <c r="DF10" s="49" t="s">
        <v>135</v>
      </c>
      <c r="DG10" s="49" t="s">
        <v>136</v>
      </c>
      <c r="DH10" s="49" t="s">
        <v>137</v>
      </c>
      <c r="DI10" s="49" t="s">
        <v>138</v>
      </c>
      <c r="DJ10" s="49" t="s">
        <v>139</v>
      </c>
      <c r="DK10" s="49" t="s">
        <v>140</v>
      </c>
      <c r="DL10" s="49" t="s">
        <v>141</v>
      </c>
      <c r="DM10" s="49" t="s">
        <v>142</v>
      </c>
      <c r="DN10" s="49" t="s">
        <v>143</v>
      </c>
      <c r="DO10" s="49" t="s">
        <v>144</v>
      </c>
      <c r="DP10" s="49" t="s">
        <v>145</v>
      </c>
      <c r="DQ10" s="49" t="s">
        <v>146</v>
      </c>
      <c r="DR10" s="49" t="s">
        <v>147</v>
      </c>
      <c r="DS10" s="49" t="s">
        <v>148</v>
      </c>
      <c r="DT10" s="49" t="s">
        <v>149</v>
      </c>
      <c r="DU10" s="49" t="s">
        <v>150</v>
      </c>
      <c r="DV10" s="49" t="s">
        <v>151</v>
      </c>
      <c r="DW10" s="49" t="s">
        <v>152</v>
      </c>
      <c r="DX10" s="50" t="s">
        <v>153</v>
      </c>
    </row>
    <row r="11" spans="1:129" ht="18" customHeight="1" x14ac:dyDescent="0.2">
      <c r="B11" s="51" t="s">
        <v>156</v>
      </c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</row>
    <row r="12" spans="1:129" ht="18" customHeight="1" x14ac:dyDescent="0.2">
      <c r="B12" s="51" t="s">
        <v>157</v>
      </c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</row>
    <row r="13" spans="1:129" ht="18" customHeight="1" x14ac:dyDescent="0.2">
      <c r="B13" s="51" t="s">
        <v>158</v>
      </c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</row>
    <row r="14" spans="1:129" ht="18" customHeight="1" x14ac:dyDescent="0.2">
      <c r="B14" s="52" t="s">
        <v>159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</row>
    <row r="15" spans="1:129" ht="5.25" customHeight="1" x14ac:dyDescent="0.2"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</row>
    <row r="16" spans="1:129" ht="18" customHeight="1" x14ac:dyDescent="0.2">
      <c r="B16" s="56" t="s">
        <v>16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F21"/>
  <sheetViews>
    <sheetView showGridLines="0" tabSelected="1" workbookViewId="0">
      <pane ySplit="8" topLeftCell="A15" activePane="bottomLeft" state="frozen"/>
      <selection activeCell="A12" sqref="A12"/>
      <selection pane="bottomLeft" activeCell="D15" sqref="D15"/>
    </sheetView>
  </sheetViews>
  <sheetFormatPr defaultColWidth="9.09765625" defaultRowHeight="12.5" x14ac:dyDescent="0.2"/>
  <cols>
    <col min="1" max="1" width="2.69921875" style="2" customWidth="1"/>
    <col min="2" max="2" width="23.69921875" style="2" customWidth="1"/>
    <col min="3" max="6" width="19.296875" style="2" customWidth="1"/>
    <col min="7" max="16384" width="9.09765625" style="2"/>
  </cols>
  <sheetData>
    <row r="1" spans="1:6" s="5" customFormat="1" ht="33" thickBot="1" x14ac:dyDescent="0.25">
      <c r="A1" s="1" t="s">
        <v>166</v>
      </c>
    </row>
    <row r="2" spans="1:6" s="5" customFormat="1" ht="15" customHeight="1" x14ac:dyDescent="0.2">
      <c r="A2" s="1"/>
      <c r="B2" s="35" t="s">
        <v>174</v>
      </c>
      <c r="C2" s="28"/>
      <c r="D2" s="29"/>
      <c r="E2" s="28"/>
      <c r="F2" s="30"/>
    </row>
    <row r="3" spans="1:6" s="5" customFormat="1" ht="15" customHeight="1" x14ac:dyDescent="0.2">
      <c r="A3" s="1"/>
      <c r="B3" s="36" t="s">
        <v>170</v>
      </c>
      <c r="D3" s="18"/>
      <c r="F3" s="31"/>
    </row>
    <row r="4" spans="1:6" s="5" customFormat="1" ht="15" customHeight="1" x14ac:dyDescent="0.2">
      <c r="A4" s="1"/>
      <c r="B4" s="36" t="s">
        <v>171</v>
      </c>
      <c r="D4" s="18"/>
      <c r="F4" s="31"/>
    </row>
    <row r="5" spans="1:6" s="5" customFormat="1" ht="15" customHeight="1" x14ac:dyDescent="0.2">
      <c r="A5" s="1"/>
      <c r="B5" s="36" t="s">
        <v>172</v>
      </c>
      <c r="D5" s="18"/>
      <c r="F5" s="31"/>
    </row>
    <row r="6" spans="1:6" s="5" customFormat="1" ht="15" customHeight="1" thickBot="1" x14ac:dyDescent="0.25">
      <c r="A6" s="1"/>
      <c r="B6" s="37" t="s">
        <v>173</v>
      </c>
      <c r="C6" s="32"/>
      <c r="D6" s="33"/>
      <c r="E6" s="32"/>
      <c r="F6" s="34"/>
    </row>
    <row r="7" spans="1:6" ht="5.25" customHeight="1" x14ac:dyDescent="0.2">
      <c r="B7" s="3"/>
      <c r="D7" s="4"/>
      <c r="E7" s="4"/>
    </row>
    <row r="8" spans="1:6" ht="23.25" customHeight="1" x14ac:dyDescent="0.2">
      <c r="B8" s="6" t="s">
        <v>0</v>
      </c>
      <c r="C8" s="7" t="s">
        <v>4</v>
      </c>
      <c r="D8" s="8" t="s">
        <v>5</v>
      </c>
      <c r="E8" s="8" t="s">
        <v>3</v>
      </c>
      <c r="F8" s="9" t="s">
        <v>160</v>
      </c>
    </row>
    <row r="9" spans="1:6" ht="23.25" customHeight="1" x14ac:dyDescent="0.2">
      <c r="B9" s="10" t="s">
        <v>6</v>
      </c>
      <c r="C9" s="11" t="str">
        <f>IFERROR(VLOOKUP(B9,'RAW DATA 1'!B3:D419,2,FALSE),"-")</f>
        <v>Yes</v>
      </c>
      <c r="D9" s="12">
        <f>COUNTIF(('RAW DATA 1'!B3:D419),'Table 1'!B9)</f>
        <v>48</v>
      </c>
      <c r="E9" s="12">
        <f ca="1">SUMIF('RAW DATA 1'!B3:D419,B9,'RAW DATA 1'!D3:D419)</f>
        <v>23071.390000000003</v>
      </c>
      <c r="F9" s="74">
        <f ca="1">ROUND(E9,0)</f>
        <v>23071</v>
      </c>
    </row>
    <row r="10" spans="1:6" ht="23.25" customHeight="1" x14ac:dyDescent="0.2">
      <c r="B10" s="10" t="s">
        <v>7</v>
      </c>
      <c r="C10" s="11" t="str">
        <f>IFERROR(VLOOKUP(B10,'RAW DATA 1'!B4:D420,2,FALSE),"-")</f>
        <v>No</v>
      </c>
      <c r="D10" s="12">
        <f>COUNTIF(('RAW DATA 1'!B4:D420),'Table 1'!B10)</f>
        <v>48</v>
      </c>
      <c r="E10" s="12">
        <f ca="1">SUMIF('RAW DATA 1'!B4:D420,B10,'RAW DATA 1'!D4:D420)</f>
        <v>24971.629999999997</v>
      </c>
      <c r="F10" s="74">
        <f t="shared" ref="F10:F21" ca="1" si="0">ROUND(E10,0)</f>
        <v>24972</v>
      </c>
    </row>
    <row r="11" spans="1:6" ht="23.25" customHeight="1" x14ac:dyDescent="0.2">
      <c r="B11" s="10" t="s">
        <v>8</v>
      </c>
      <c r="C11" s="11" t="str">
        <f>IFERROR(VLOOKUP(B11,'RAW DATA 1'!B5:D421,2,FALSE),"-")</f>
        <v>Yes</v>
      </c>
      <c r="D11" s="12">
        <f>COUNTIF(('RAW DATA 1'!B5:D421),'Table 1'!B11)</f>
        <v>48</v>
      </c>
      <c r="E11" s="12">
        <f ca="1">SUMIF('RAW DATA 1'!B5:D421,B11,'RAW DATA 1'!D5:D421)</f>
        <v>23067.679999999993</v>
      </c>
      <c r="F11" s="74">
        <f t="shared" ca="1" si="0"/>
        <v>23068</v>
      </c>
    </row>
    <row r="12" spans="1:6" ht="23.25" customHeight="1" x14ac:dyDescent="0.2">
      <c r="B12" s="10" t="s">
        <v>9</v>
      </c>
      <c r="C12" s="11" t="str">
        <f>IFERROR(VLOOKUP(B12,'RAW DATA 1'!B6:D422,2,FALSE),"-")</f>
        <v>Yes</v>
      </c>
      <c r="D12" s="12">
        <f>COUNTIF(('RAW DATA 1'!B6:D422),'Table 1'!B12)</f>
        <v>16</v>
      </c>
      <c r="E12" s="12">
        <f ca="1">SUMIF('RAW DATA 1'!B6:D422,B12,'RAW DATA 1'!D6:D422)</f>
        <v>9388.5699999999979</v>
      </c>
      <c r="F12" s="74">
        <f t="shared" ca="1" si="0"/>
        <v>9389</v>
      </c>
    </row>
    <row r="13" spans="1:6" ht="23.25" customHeight="1" x14ac:dyDescent="0.2">
      <c r="B13" s="10" t="s">
        <v>10</v>
      </c>
      <c r="C13" s="11" t="str">
        <f>IFERROR(VLOOKUP(B13,'RAW DATA 1'!B7:D423,2,FALSE),"-")</f>
        <v>Yes</v>
      </c>
      <c r="D13" s="12">
        <f>COUNTIF(('RAW DATA 1'!B7:D423),'Table 1'!B13)</f>
        <v>32</v>
      </c>
      <c r="E13" s="12">
        <f ca="1">SUMIF('RAW DATA 1'!B7:D423,B13,'RAW DATA 1'!D7:D423)</f>
        <v>14979.540000000003</v>
      </c>
      <c r="F13" s="74">
        <f t="shared" ca="1" si="0"/>
        <v>14980</v>
      </c>
    </row>
    <row r="14" spans="1:6" ht="23.25" customHeight="1" x14ac:dyDescent="0.2">
      <c r="B14" s="10" t="s">
        <v>17</v>
      </c>
      <c r="C14" s="11" t="str">
        <f>IFERROR(VLOOKUP(B14,'RAW DATA 1'!B8:D424,2,FALSE),"-")</f>
        <v>-</v>
      </c>
      <c r="D14" s="12">
        <f>COUNTIF(('RAW DATA 1'!B8:D424),'Table 1'!B14)</f>
        <v>0</v>
      </c>
      <c r="E14" s="12">
        <f ca="1">SUMIF('RAW DATA 1'!B8:D424,B14,'RAW DATA 1'!D8:D424)</f>
        <v>0</v>
      </c>
      <c r="F14" s="74">
        <f t="shared" ca="1" si="0"/>
        <v>0</v>
      </c>
    </row>
    <row r="15" spans="1:6" ht="23.25" customHeight="1" x14ac:dyDescent="0.2">
      <c r="B15" s="10" t="s">
        <v>11</v>
      </c>
      <c r="C15" s="11" t="str">
        <f>IFERROR(VLOOKUP(B15,'RAW DATA 1'!B9:D425,2,FALSE),"-")</f>
        <v>No</v>
      </c>
      <c r="D15" s="12">
        <f>COUNTIF(('RAW DATA 1'!B9:D425),'Table 1'!B15)</f>
        <v>48</v>
      </c>
      <c r="E15" s="12">
        <f ca="1">SUMIF('RAW DATA 1'!B9:D425,B15,'RAW DATA 1'!D9:D425)</f>
        <v>26166.12</v>
      </c>
      <c r="F15" s="74">
        <f t="shared" ca="1" si="0"/>
        <v>26166</v>
      </c>
    </row>
    <row r="16" spans="1:6" ht="23.25" customHeight="1" x14ac:dyDescent="0.2">
      <c r="B16" s="10" t="s">
        <v>12</v>
      </c>
      <c r="C16" s="11" t="str">
        <f>IFERROR(VLOOKUP(B16,'RAW DATA 1'!B10:D426,2,FALSE),"-")</f>
        <v>No</v>
      </c>
      <c r="D16" s="12">
        <f>COUNTIF(('RAW DATA 1'!B10:D426),'Table 1'!B16)</f>
        <v>47</v>
      </c>
      <c r="E16" s="12">
        <f ca="1">SUMIF('RAW DATA 1'!B10:D426,B16,'RAW DATA 1'!D10:D426)</f>
        <v>21360.23</v>
      </c>
      <c r="F16" s="74">
        <f t="shared" ca="1" si="0"/>
        <v>21360</v>
      </c>
    </row>
    <row r="17" spans="2:6" ht="23.25" customHeight="1" x14ac:dyDescent="0.2">
      <c r="B17" s="10" t="s">
        <v>13</v>
      </c>
      <c r="C17" s="11" t="str">
        <f>IFERROR(VLOOKUP(B17,'RAW DATA 1'!B11:D427,2,FALSE),"-")</f>
        <v>Yes</v>
      </c>
      <c r="D17" s="12">
        <f>COUNTIF(('RAW DATA 1'!B11:D427),'Table 1'!B17)</f>
        <v>16</v>
      </c>
      <c r="E17" s="12">
        <f ca="1">SUMIF('RAW DATA 1'!B11:D427,B17,'RAW DATA 1'!D11:D427)</f>
        <v>8948.86</v>
      </c>
      <c r="F17" s="74">
        <f t="shared" ca="1" si="0"/>
        <v>8949</v>
      </c>
    </row>
    <row r="18" spans="2:6" ht="23.25" customHeight="1" x14ac:dyDescent="0.2">
      <c r="B18" s="10" t="s">
        <v>18</v>
      </c>
      <c r="C18" s="11" t="str">
        <f>IFERROR(VLOOKUP(B18,'RAW DATA 1'!B12:D428,2,FALSE),"-")</f>
        <v>-</v>
      </c>
      <c r="D18" s="12">
        <f>COUNTIF(('RAW DATA 1'!B12:D428),'Table 1'!B18)</f>
        <v>0</v>
      </c>
      <c r="E18" s="12">
        <f ca="1">SUMIF('RAW DATA 1'!B12:D428,B18,'RAW DATA 1'!D12:D428)</f>
        <v>0</v>
      </c>
      <c r="F18" s="74">
        <f t="shared" ca="1" si="0"/>
        <v>0</v>
      </c>
    </row>
    <row r="19" spans="2:6" ht="23.25" customHeight="1" x14ac:dyDescent="0.2">
      <c r="B19" s="10" t="s">
        <v>14</v>
      </c>
      <c r="C19" s="11" t="str">
        <f>IFERROR(VLOOKUP(B19,'RAW DATA 1'!B13:D429,2,FALSE),"-")</f>
        <v>No</v>
      </c>
      <c r="D19" s="12">
        <f>COUNTIF(('RAW DATA 1'!B13:D429),'Table 1'!B19)</f>
        <v>45</v>
      </c>
      <c r="E19" s="12">
        <f ca="1">SUMIF('RAW DATA 1'!B13:D429,B19,'RAW DATA 1'!D13:D429)</f>
        <v>22149.329999999998</v>
      </c>
      <c r="F19" s="74">
        <f t="shared" ca="1" si="0"/>
        <v>22149</v>
      </c>
    </row>
    <row r="20" spans="2:6" ht="23.25" customHeight="1" x14ac:dyDescent="0.2">
      <c r="B20" s="10" t="s">
        <v>15</v>
      </c>
      <c r="C20" s="11" t="str">
        <f>IFERROR(VLOOKUP(B20,'RAW DATA 1'!B14:D430,2,FALSE),"-")</f>
        <v>No</v>
      </c>
      <c r="D20" s="12">
        <f>COUNTIF(('RAW DATA 1'!B14:D430),'Table 1'!B20)</f>
        <v>63</v>
      </c>
      <c r="E20" s="12">
        <f ca="1">SUMIF('RAW DATA 1'!B14:D430,B20,'RAW DATA 1'!D14:D430)</f>
        <v>30816.260000000006</v>
      </c>
      <c r="F20" s="74">
        <f t="shared" ca="1" si="0"/>
        <v>30816</v>
      </c>
    </row>
    <row r="21" spans="2:6" ht="23.25" customHeight="1" x14ac:dyDescent="0.2">
      <c r="B21" s="14" t="s">
        <v>19</v>
      </c>
      <c r="C21" s="11" t="str">
        <f>IFERROR(VLOOKUP(B21,'RAW DATA 1'!B15:D431,2,FALSE),"-")</f>
        <v>-</v>
      </c>
      <c r="D21" s="12">
        <f>COUNTIF(('RAW DATA 1'!B15:D431),'Table 1'!B21)</f>
        <v>0</v>
      </c>
      <c r="E21" s="12">
        <f ca="1">SUMIF('RAW DATA 1'!B15:D431,B21,'RAW DATA 1'!D15:D431)</f>
        <v>0</v>
      </c>
      <c r="F21" s="74">
        <f t="shared" ca="1" si="0"/>
        <v>0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H29"/>
  <sheetViews>
    <sheetView showGridLines="0" workbookViewId="0">
      <pane ySplit="11" topLeftCell="A12" activePane="bottomLeft" state="frozen"/>
      <selection activeCell="A9" sqref="A9"/>
      <selection pane="bottomLeft" activeCell="D14" sqref="D14"/>
    </sheetView>
  </sheetViews>
  <sheetFormatPr defaultColWidth="9.09765625" defaultRowHeight="12.5" x14ac:dyDescent="0.2"/>
  <cols>
    <col min="1" max="1" width="2.69921875" style="18" customWidth="1"/>
    <col min="2" max="2" width="28.69921875" style="18" customWidth="1"/>
    <col min="3" max="3" width="23.296875" style="18" bestFit="1" customWidth="1"/>
    <col min="4" max="16384" width="9.09765625" style="18"/>
  </cols>
  <sheetData>
    <row r="1" spans="1:8" ht="33" thickBot="1" x14ac:dyDescent="0.25">
      <c r="A1" s="17" t="s">
        <v>167</v>
      </c>
    </row>
    <row r="2" spans="1:8" s="5" customFormat="1" ht="15" customHeight="1" x14ac:dyDescent="0.2">
      <c r="A2" s="1"/>
      <c r="B2" s="35" t="s">
        <v>175</v>
      </c>
      <c r="C2" s="28"/>
      <c r="D2" s="29"/>
      <c r="E2" s="28"/>
      <c r="F2" s="28"/>
      <c r="G2" s="28"/>
      <c r="H2" s="30"/>
    </row>
    <row r="3" spans="1:8" s="5" customFormat="1" ht="15" customHeight="1" x14ac:dyDescent="0.2">
      <c r="A3" s="1"/>
      <c r="B3" s="36" t="s">
        <v>177</v>
      </c>
      <c r="D3" s="18"/>
      <c r="H3" s="31"/>
    </row>
    <row r="4" spans="1:8" s="5" customFormat="1" ht="15" customHeight="1" x14ac:dyDescent="0.2">
      <c r="A4" s="1"/>
      <c r="B4" s="36" t="s">
        <v>161</v>
      </c>
      <c r="D4" s="18"/>
      <c r="H4" s="31"/>
    </row>
    <row r="5" spans="1:8" s="5" customFormat="1" ht="15" customHeight="1" x14ac:dyDescent="0.2">
      <c r="A5" s="1"/>
      <c r="B5" s="36" t="s">
        <v>162</v>
      </c>
      <c r="D5" s="18"/>
      <c r="H5" s="31"/>
    </row>
    <row r="6" spans="1:8" s="5" customFormat="1" ht="15" customHeight="1" x14ac:dyDescent="0.2">
      <c r="A6" s="1"/>
      <c r="B6" s="36" t="s">
        <v>163</v>
      </c>
      <c r="D6" s="18"/>
      <c r="H6" s="31"/>
    </row>
    <row r="7" spans="1:8" s="5" customFormat="1" ht="15" customHeight="1" x14ac:dyDescent="0.2">
      <c r="A7" s="1"/>
      <c r="B7" s="36" t="s">
        <v>164</v>
      </c>
      <c r="D7" s="18"/>
      <c r="H7" s="31"/>
    </row>
    <row r="8" spans="1:8" s="5" customFormat="1" ht="15" customHeight="1" thickBot="1" x14ac:dyDescent="0.25">
      <c r="A8" s="1"/>
      <c r="B8" s="37" t="s">
        <v>176</v>
      </c>
      <c r="C8" s="32"/>
      <c r="D8" s="33"/>
      <c r="E8" s="32"/>
      <c r="F8" s="32"/>
      <c r="G8" s="32"/>
      <c r="H8" s="34"/>
    </row>
    <row r="9" spans="1:8" s="2" customFormat="1" ht="5.25" customHeight="1" x14ac:dyDescent="0.2">
      <c r="B9" s="3"/>
      <c r="D9" s="4"/>
      <c r="E9" s="4"/>
      <c r="F9" s="4"/>
      <c r="G9" s="4"/>
    </row>
    <row r="11" spans="1:8" ht="23.25" customHeight="1" x14ac:dyDescent="0.2">
      <c r="B11" s="6" t="s">
        <v>20</v>
      </c>
      <c r="C11" s="9" t="s">
        <v>165</v>
      </c>
    </row>
    <row r="12" spans="1:8" ht="23.25" customHeight="1" x14ac:dyDescent="0.2">
      <c r="B12" s="10" t="s">
        <v>26</v>
      </c>
      <c r="C12" s="13"/>
    </row>
    <row r="13" spans="1:8" ht="23.25" customHeight="1" x14ac:dyDescent="0.2">
      <c r="B13" s="10" t="s">
        <v>52</v>
      </c>
      <c r="C13" s="13"/>
    </row>
    <row r="14" spans="1:8" ht="23.25" customHeight="1" x14ac:dyDescent="0.2">
      <c r="B14" s="10" t="s">
        <v>75</v>
      </c>
      <c r="C14" s="13"/>
    </row>
    <row r="15" spans="1:8" ht="23.25" customHeight="1" x14ac:dyDescent="0.2">
      <c r="B15" s="10" t="s">
        <v>31</v>
      </c>
      <c r="C15" s="13"/>
    </row>
    <row r="16" spans="1:8" ht="23.25" customHeight="1" x14ac:dyDescent="0.2">
      <c r="B16" s="10" t="s">
        <v>96</v>
      </c>
      <c r="C16" s="13"/>
    </row>
    <row r="17" spans="2:3" ht="23.25" customHeight="1" x14ac:dyDescent="0.2">
      <c r="B17" s="10" t="s">
        <v>111</v>
      </c>
      <c r="C17" s="13"/>
    </row>
    <row r="18" spans="2:3" ht="23.25" customHeight="1" x14ac:dyDescent="0.2">
      <c r="B18" s="10" t="s">
        <v>122</v>
      </c>
      <c r="C18" s="13"/>
    </row>
    <row r="19" spans="2:3" ht="23.25" customHeight="1" x14ac:dyDescent="0.2">
      <c r="B19" s="10" t="s">
        <v>128</v>
      </c>
      <c r="C19" s="13"/>
    </row>
    <row r="20" spans="2:3" ht="23.25" customHeight="1" x14ac:dyDescent="0.2">
      <c r="B20" s="10" t="s">
        <v>146</v>
      </c>
      <c r="C20" s="13"/>
    </row>
    <row r="21" spans="2:3" ht="23.25" customHeight="1" x14ac:dyDescent="0.2">
      <c r="B21" s="10" t="s">
        <v>32</v>
      </c>
      <c r="C21" s="13"/>
    </row>
    <row r="22" spans="2:3" ht="23.25" customHeight="1" x14ac:dyDescent="0.2">
      <c r="B22" s="10" t="s">
        <v>34</v>
      </c>
      <c r="C22" s="13"/>
    </row>
    <row r="23" spans="2:3" ht="23.25" customHeight="1" x14ac:dyDescent="0.2">
      <c r="B23" s="10" t="s">
        <v>46</v>
      </c>
      <c r="C23" s="13"/>
    </row>
    <row r="24" spans="2:3" ht="23.25" customHeight="1" x14ac:dyDescent="0.2">
      <c r="B24" s="10" t="s">
        <v>53</v>
      </c>
      <c r="C24" s="13"/>
    </row>
    <row r="25" spans="2:3" ht="23.25" customHeight="1" x14ac:dyDescent="0.2">
      <c r="B25" s="10" t="s">
        <v>56</v>
      </c>
      <c r="C25" s="13"/>
    </row>
    <row r="26" spans="2:3" ht="23.25" customHeight="1" x14ac:dyDescent="0.2">
      <c r="B26" s="10" t="s">
        <v>116</v>
      </c>
      <c r="C26" s="13"/>
    </row>
    <row r="27" spans="2:3" ht="23.25" customHeight="1" x14ac:dyDescent="0.2">
      <c r="B27" s="10" t="s">
        <v>119</v>
      </c>
      <c r="C27" s="13"/>
    </row>
    <row r="28" spans="2:3" ht="23.25" customHeight="1" x14ac:dyDescent="0.2">
      <c r="B28" s="10" t="s">
        <v>123</v>
      </c>
      <c r="C28" s="13"/>
    </row>
    <row r="29" spans="2:3" ht="23.25" customHeight="1" x14ac:dyDescent="0.2">
      <c r="B29" s="14" t="s">
        <v>141</v>
      </c>
      <c r="C29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6"/>
  </sheetPr>
  <dimension ref="A1:R5"/>
  <sheetViews>
    <sheetView showGridLines="0" workbookViewId="0">
      <selection activeCell="N5" sqref="N5"/>
    </sheetView>
  </sheetViews>
  <sheetFormatPr defaultColWidth="9.09765625" defaultRowHeight="12.5" x14ac:dyDescent="0.25"/>
  <cols>
    <col min="1" max="2" width="2.69921875" style="16" customWidth="1"/>
    <col min="3" max="17" width="9.09765625" style="16"/>
    <col min="18" max="18" width="2.69921875" style="16" customWidth="1"/>
    <col min="19" max="16384" width="9.09765625" style="16"/>
  </cols>
  <sheetData>
    <row r="1" spans="1:18" ht="32.5" x14ac:dyDescent="0.25">
      <c r="A1" s="17" t="s">
        <v>168</v>
      </c>
      <c r="B1" s="17"/>
    </row>
    <row r="2" spans="1:18" ht="12.75" customHeight="1" thickBot="1" x14ac:dyDescent="0.3">
      <c r="A2" s="17"/>
      <c r="B2" s="17"/>
    </row>
    <row r="3" spans="1:18" x14ac:dyDescent="0.25">
      <c r="B3" s="20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2"/>
    </row>
    <row r="4" spans="1:18" ht="15.5" x14ac:dyDescent="0.35">
      <c r="B4" s="23"/>
      <c r="C4" s="19" t="s">
        <v>169</v>
      </c>
      <c r="R4" s="24"/>
    </row>
    <row r="5" spans="1:18" ht="13" thickBot="1" x14ac:dyDescent="0.3">
      <c r="B5" s="25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RAW DATA 1</vt:lpstr>
      <vt:lpstr>RAW DATA 2</vt:lpstr>
      <vt:lpstr>Table 1</vt:lpstr>
      <vt:lpstr>Table 2</vt:lpstr>
      <vt:lpstr>Pivot</vt:lpstr>
    </vt:vector>
  </TitlesOfParts>
  <Company>The Blackstone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HARTD</dc:creator>
  <cp:lastModifiedBy>nowneesh thiru</cp:lastModifiedBy>
  <dcterms:created xsi:type="dcterms:W3CDTF">2009-10-07T21:13:32Z</dcterms:created>
  <dcterms:modified xsi:type="dcterms:W3CDTF">2023-03-07T04:27:43Z</dcterms:modified>
</cp:coreProperties>
</file>