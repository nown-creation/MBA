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lass files\Module 3\MGNM580(Excel modelling)\"/>
    </mc:Choice>
  </mc:AlternateContent>
  <xr:revisionPtr revIDLastSave="0" documentId="13_ncr:1_{F8A38BD8-59B5-4D68-B19F-BE4DE04A6294}" xr6:coauthVersionLast="47" xr6:coauthVersionMax="47" xr10:uidLastSave="{00000000-0000-0000-0000-000000000000}"/>
  <bookViews>
    <workbookView xWindow="-110" yWindow="-110" windowWidth="19420" windowHeight="10300" activeTab="5" xr2:uid="{00000000-000D-0000-FFFF-FFFF00000000}"/>
  </bookViews>
  <sheets>
    <sheet name="Link to WorkSheets" sheetId="1" r:id="rId1"/>
    <sheet name="Record First Macro" sheetId="2" r:id="rId2"/>
    <sheet name="Blank Cells" sheetId="9" r:id="rId3"/>
    <sheet name="Summary" sheetId="3" r:id="rId4"/>
    <sheet name="Data1" sheetId="7" r:id="rId5"/>
    <sheet name="Data2" sheetId="8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0" i="9" l="1"/>
  <c r="E48" i="9"/>
  <c r="E55" i="9"/>
  <c r="E50" i="9"/>
  <c r="E49" i="9"/>
  <c r="E47" i="9"/>
  <c r="E46" i="9"/>
  <c r="E44" i="9"/>
  <c r="E42" i="9"/>
  <c r="E40" i="9"/>
  <c r="E39" i="9"/>
  <c r="E15" i="9"/>
  <c r="E9" i="9"/>
</calcChain>
</file>

<file path=xl/sharedStrings.xml><?xml version="1.0" encoding="utf-8"?>
<sst xmlns="http://schemas.openxmlformats.org/spreadsheetml/2006/main" count="387" uniqueCount="143">
  <si>
    <t>Link</t>
  </si>
  <si>
    <t>Topic Covered</t>
  </si>
  <si>
    <t>What you will LEARN</t>
  </si>
  <si>
    <t>Name of MACRO</t>
  </si>
  <si>
    <t>#</t>
  </si>
  <si>
    <t>Record First Macro</t>
  </si>
  <si>
    <t>How to record a macro?</t>
  </si>
  <si>
    <t>Record macro using macro button in extreme left lower corner of excel sheet</t>
  </si>
  <si>
    <t>Record macro using shortcut</t>
  </si>
  <si>
    <t>Record macro from developer tab</t>
  </si>
  <si>
    <t>Record macro from view tab</t>
  </si>
  <si>
    <t>Apply a shortcut to already recorded macro</t>
  </si>
  <si>
    <t>Delete a macro</t>
  </si>
  <si>
    <t>What is expected?</t>
  </si>
  <si>
    <t>Insert a new worksheet</t>
  </si>
  <si>
    <t>Remove gridlines</t>
  </si>
  <si>
    <t>Go to A2 cell</t>
  </si>
  <si>
    <t>Stop recording macro</t>
  </si>
  <si>
    <t>Give shortcut to macro</t>
  </si>
  <si>
    <t>Re-run macro using shortcut</t>
  </si>
  <si>
    <t>Make the headers of the report Bold</t>
  </si>
  <si>
    <t>Change font colour of report header to dark brown</t>
  </si>
  <si>
    <r>
      <t xml:space="preserve">Give report a title as </t>
    </r>
    <r>
      <rPr>
        <b/>
        <sz val="12"/>
        <color theme="1"/>
        <rFont val="Lato"/>
        <family val="2"/>
      </rPr>
      <t>Sales Report (2022 - 23)</t>
    </r>
  </si>
  <si>
    <t>Make the title Bold</t>
  </si>
  <si>
    <t>Increase the font size of the sales report title to 20</t>
  </si>
  <si>
    <t>Change font colour of title to dark blue</t>
  </si>
  <si>
    <t>Increase the hight of the title row to 30 points</t>
  </si>
  <si>
    <t>Give a lower border to this report title</t>
  </si>
  <si>
    <t>Increase the font size of report header to 16</t>
  </si>
  <si>
    <t>Centre align the text of the header row</t>
  </si>
  <si>
    <t>Increase the hight of the header row to 24 points</t>
  </si>
  <si>
    <t>Give a lower double border to report header</t>
  </si>
  <si>
    <t>Run macro without shortcut</t>
  </si>
  <si>
    <t>Make headers of the report as Year, Date, Region, Product, Sale Units, Selling Price, Sales Value</t>
  </si>
  <si>
    <t>Change the column width of headers to 15 points</t>
  </si>
  <si>
    <r>
      <t xml:space="preserve">Centre align the </t>
    </r>
    <r>
      <rPr>
        <b/>
        <sz val="12"/>
        <color theme="1"/>
        <rFont val="Lato"/>
        <family val="2"/>
      </rPr>
      <t>Sales Report (2022 - 23)</t>
    </r>
    <r>
      <rPr>
        <sz val="12"/>
        <color theme="1"/>
        <rFont val="Lato"/>
        <family val="2"/>
      </rPr>
      <t xml:space="preserve"> title</t>
    </r>
  </si>
  <si>
    <t>Record a Macro to Highlight Special Cells</t>
  </si>
  <si>
    <t>Company</t>
  </si>
  <si>
    <t>Business Unit</t>
  </si>
  <si>
    <t>Main Unit</t>
  </si>
  <si>
    <t>Red Flag</t>
  </si>
  <si>
    <t>Actual Revenue</t>
  </si>
  <si>
    <t>Budget Revenue</t>
  </si>
  <si>
    <t>Entity A</t>
  </si>
  <si>
    <t>BU_1</t>
  </si>
  <si>
    <t>VC_A</t>
  </si>
  <si>
    <t>Y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</si>
  <si>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</si>
  <si>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</si>
  <si>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</si>
  <si>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</si>
  <si>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</si>
  <si>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</si>
  <si>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</si>
  <si>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</si>
  <si>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</si>
  <si>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</si>
  <si>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</si>
  <si>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</si>
  <si>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</si>
  <si>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</si>
  <si>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</si>
  <si>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</si>
  <si>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</si>
  <si>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</si>
  <si>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</si>
  <si>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</si>
  <si>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</si>
  <si>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</si>
  <si>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</si>
  <si>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</si>
  <si>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</si>
  <si>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</si>
  <si>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</si>
  <si>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</si>
  <si>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</si>
  <si>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</si>
  <si>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</si>
  <si>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</si>
  <si>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</si>
  <si>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</si>
  <si>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Status</t>
  </si>
  <si>
    <t>Difference between absolute and relative referencing in VBA</t>
  </si>
  <si>
    <t>Understand the difference between absolute and relative reference recording:</t>
  </si>
  <si>
    <t>#1. Do absolute recording to find last empty row</t>
  </si>
  <si>
    <t>#2. Do relative recording to find last empty row</t>
  </si>
  <si>
    <t>#3. Do mix of absolute and relative recording to find last empty row</t>
  </si>
  <si>
    <t>#4.Consolidate data from different tabs into one</t>
  </si>
  <si>
    <t>Blank Cells</t>
  </si>
  <si>
    <t>Record macros to highlight blank cells</t>
  </si>
  <si>
    <t>Highlight and colour cells with formula</t>
  </si>
  <si>
    <t>Place a value in the blank cells inside the current range</t>
  </si>
  <si>
    <t>Data Consolidation</t>
  </si>
  <si>
    <t>Sales report</t>
  </si>
  <si>
    <t>Highlight Blank Cells</t>
  </si>
  <si>
    <t>Absolute Versus Relative Recording</t>
  </si>
  <si>
    <t>Make sure you have values in A4 (Later we learn different methods of ensuring we don't run into problems)</t>
  </si>
  <si>
    <t>N</t>
  </si>
  <si>
    <t>Copy data to Summary Tab</t>
  </si>
  <si>
    <t>Make sure you have more than one line of data</t>
  </si>
  <si>
    <t>Summary</t>
  </si>
  <si>
    <t xml:space="preserve"> Excel Macros</t>
  </si>
  <si>
    <t>Sales report (2022-2023)</t>
  </si>
  <si>
    <t>year</t>
  </si>
  <si>
    <t>date</t>
  </si>
  <si>
    <t>region</t>
  </si>
  <si>
    <t>product</t>
  </si>
  <si>
    <t>sales</t>
  </si>
  <si>
    <t>value</t>
  </si>
  <si>
    <t>Create a macro that dyamically fills up the blak cells with ""</t>
  </si>
  <si>
    <t>…..ad dyamically highlights ay cells that have formulas (the split this to secod macro)</t>
  </si>
  <si>
    <t>Compay</t>
  </si>
  <si>
    <t>Busiess Uit</t>
  </si>
  <si>
    <t>Mai Uit</t>
  </si>
  <si>
    <t>Actual Reveue</t>
  </si>
  <si>
    <t>Budget Reveue</t>
  </si>
  <si>
    <t>Etity A</t>
  </si>
  <si>
    <t>Etity B</t>
  </si>
  <si>
    <t>Etity C</t>
  </si>
  <si>
    <t>Etity D</t>
  </si>
  <si>
    <t>Etity E</t>
  </si>
  <si>
    <t>Etity F</t>
  </si>
  <si>
    <t>Etity G</t>
  </si>
  <si>
    <t>Etity H</t>
  </si>
  <si>
    <t>Etity I</t>
  </si>
  <si>
    <t>Etity J</t>
  </si>
  <si>
    <t>Etity K</t>
  </si>
  <si>
    <t>Etity L</t>
  </si>
  <si>
    <t>Etity M</t>
  </si>
  <si>
    <t xml:space="preserve">Etity </t>
  </si>
  <si>
    <t>Etity O</t>
  </si>
  <si>
    <t>Etity P</t>
  </si>
  <si>
    <t>Etity Q</t>
  </si>
  <si>
    <t>Etity R</t>
  </si>
  <si>
    <t>Etity S</t>
  </si>
  <si>
    <t>Etity T</t>
  </si>
  <si>
    <t>Etity U</t>
  </si>
  <si>
    <t>Etity V</t>
  </si>
  <si>
    <t>Etity W</t>
  </si>
  <si>
    <t>Etity X</t>
  </si>
  <si>
    <t>Etity Y</t>
  </si>
  <si>
    <t>Etity Z</t>
  </si>
  <si>
    <t>Test the Macro o the below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</si>
</sst>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 &quot;₹&quot;\ * #,##0.00_ ;_ &quot;₹&quot;\ * \-#,##0.00_ ;_ &quot;₹&quot;\ * &quot;-&quot;??_ ;_ @_ "/>
    <numFmt numFmtId="164" formatCode="_(* #,##0.00_);_(* \(#,##0.00\);_(* &quot;-&quot;??_);_(@_)"/>
    <numFmt numFmtId="165" formatCode="_ &quot;₹&quot;\ * #,##0.0_ ;_ &quot;₹&quot;\ * \-#,##0.0_ ;_ &quot;₹&quot;\ * &quot;-&quot;??_ ;_ @_ "/>
  </numFmts>
  <fonts count="10">
    <font>
      <sz val="12"/>
      <color theme="1"/>
      <name val="Lato"/>
      <family val="2"/>
    </font>
    <font>
      <sz val="12"/>
      <color theme="1"/>
      <name val="Lato"/>
      <family val="2"/>
    </font>
    <font>
      <b/>
      <sz val="12"/>
      <color theme="1"/>
      <name val="Lato"/>
      <family val="2"/>
    </font>
    <font>
      <u/>
      <sz val="12"/>
      <color theme="10"/>
      <name val="Lato"/>
      <family val="2"/>
    </font>
    <font>
      <sz val="12"/>
      <color theme="3" tint="-0.249977111117893"/>
      <name val="Lato Black"/>
      <family val="2"/>
    </font>
    <font>
      <sz val="18"/>
      <color theme="0"/>
      <name val="Lato Black"/>
      <family val="2"/>
    </font>
    <font>
      <b/>
      <sz val="12"/>
      <color rgb="FFC00000"/>
      <name val="Lato"/>
      <family val="2"/>
    </font>
    <font>
      <b/>
      <sz val="20"/>
      <color rgb="FFC00000"/>
      <name val="Lato Black"/>
      <family val="2"/>
    </font>
    <font>
      <sz val="11"/>
      <color theme="1"/>
      <name val="Calibri"/>
      <family val="2"/>
      <scheme val="minor"/>
    </font>
    <font>
      <sz val="12"/>
      <color rgb="FF000000"/>
      <name val="Lato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E4EDF8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3" fillId="3" borderId="2" xfId="2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2" xfId="0" applyFill="1" applyBorder="1" applyAlignment="1">
      <alignment vertical="center" wrapText="1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5" fillId="2" borderId="0" xfId="0" applyFont="1" applyFill="1" applyAlignment="1">
      <alignment horizontal="centerContinuous" vertical="center"/>
    </xf>
    <xf numFmtId="0" fontId="5" fillId="0" borderId="0" xfId="0" applyFont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7" fillId="3" borderId="6" xfId="0" applyFont="1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7" fillId="0" borderId="0" xfId="0" applyFont="1" applyAlignment="1">
      <alignment vertical="center"/>
    </xf>
    <xf numFmtId="0" fontId="2" fillId="0" borderId="0" xfId="0" applyFont="1"/>
    <xf numFmtId="0" fontId="2" fillId="0" borderId="7" xfId="0" applyFont="1" applyBorder="1"/>
    <xf numFmtId="0" fontId="2" fillId="4" borderId="0" xfId="0" applyFont="1" applyFill="1"/>
    <xf numFmtId="165" fontId="0" fillId="0" borderId="0" xfId="1" applyNumberFormat="1" applyFont="1"/>
    <xf numFmtId="0" fontId="6" fillId="0" borderId="0" xfId="0" applyFont="1"/>
    <xf numFmtId="0" fontId="2" fillId="0" borderId="0" xfId="0" applyFont="1" applyAlignment="1">
      <alignment vertical="center"/>
    </xf>
    <xf numFmtId="0" fontId="2" fillId="4" borderId="0" xfId="0" applyFont="1" applyFill="1" applyAlignment="1">
      <alignment vertical="center"/>
    </xf>
    <xf numFmtId="0" fontId="2" fillId="0" borderId="7" xfId="0" applyFont="1" applyBorder="1" applyAlignment="1">
      <alignment vertical="center"/>
    </xf>
    <xf numFmtId="0" fontId="7" fillId="0" borderId="8" xfId="0" applyFont="1" applyBorder="1" applyAlignment="1">
      <alignment horizontal="center" vertical="center"/>
    </xf>
  </cellXfs>
  <cellStyles count="4">
    <cellStyle name="Comma 2" xfId="3" xr:uid="{00000000-0005-0000-0000-000000000000}"/>
    <cellStyle name="Currency" xfId="1" builtinId="4"/>
    <cellStyle name="Hyperlink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E4ED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444500</xdr:colOff>
          <xdr:row>2</xdr:row>
          <xdr:rowOff>146050</xdr:rowOff>
        </xdr:from>
        <xdr:to>
          <xdr:col>11</xdr:col>
          <xdr:colOff>488950</xdr:colOff>
          <xdr:row>4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Lato"/>
                  <a:ea typeface="Lato"/>
                  <a:cs typeface="Lato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368300</xdr:colOff>
          <xdr:row>6</xdr:row>
          <xdr:rowOff>184150</xdr:rowOff>
        </xdr:from>
        <xdr:to>
          <xdr:col>9</xdr:col>
          <xdr:colOff>622300</xdr:colOff>
          <xdr:row>8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Lato"/>
                  <a:ea typeface="Lato"/>
                  <a:cs typeface="Lato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eyond black and white 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31A2AC"/>
      </a:accent1>
      <a:accent2>
        <a:srgbClr val="AF1C1C"/>
      </a:accent2>
      <a:accent3>
        <a:srgbClr val="F0EFF0"/>
      </a:accent3>
      <a:accent4>
        <a:srgbClr val="2F2F28"/>
      </a:accent4>
      <a:accent5>
        <a:srgbClr val="000000"/>
      </a:accent5>
      <a:accent6>
        <a:srgbClr val="8A8A8A"/>
      </a:accent6>
      <a:hlink>
        <a:srgbClr val="0096D2"/>
      </a:hlink>
      <a:folHlink>
        <a:srgbClr val="00578B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 tint="-9.9978637043366805E-2"/>
  </sheetPr>
  <dimension ref="A1:E33"/>
  <sheetViews>
    <sheetView showGridLines="0" workbookViewId="0">
      <selection activeCell="C3" sqref="C3"/>
    </sheetView>
  </sheetViews>
  <sheetFormatPr defaultColWidth="8.61328125" defaultRowHeight="22.9" customHeight="1" outlineLevelRow="1"/>
  <cols>
    <col min="1" max="1" width="3" style="1" customWidth="1"/>
    <col min="2" max="2" width="20.15234375" style="1" customWidth="1"/>
    <col min="3" max="3" width="24.53515625" style="1" customWidth="1"/>
    <col min="4" max="4" width="39.84375" style="1" bestFit="1" customWidth="1"/>
    <col min="5" max="5" width="35.15234375" style="1" bestFit="1" customWidth="1"/>
    <col min="6" max="16384" width="8.61328125" style="1"/>
  </cols>
  <sheetData>
    <row r="1" spans="1:5" ht="9" customHeight="1"/>
    <row r="2" spans="1:5" s="14" customFormat="1" ht="33.65" customHeight="1">
      <c r="A2" s="15" t="s">
        <v>4</v>
      </c>
      <c r="B2" s="13" t="s">
        <v>101</v>
      </c>
      <c r="C2" s="13"/>
      <c r="D2" s="13"/>
      <c r="E2" s="13"/>
    </row>
    <row r="3" spans="1:5" s="2" customFormat="1" ht="22.9" customHeight="1" thickBot="1">
      <c r="A3" s="3"/>
      <c r="B3" s="4" t="s">
        <v>0</v>
      </c>
      <c r="C3" s="4" t="s">
        <v>1</v>
      </c>
      <c r="D3" s="4" t="s">
        <v>2</v>
      </c>
      <c r="E3" s="4" t="s">
        <v>3</v>
      </c>
    </row>
    <row r="4" spans="1:5" ht="3.65" customHeight="1" thickTop="1" thickBot="1">
      <c r="A4" s="5"/>
      <c r="B4" s="6"/>
      <c r="C4" s="6"/>
      <c r="D4" s="6"/>
      <c r="E4" s="6"/>
    </row>
    <row r="5" spans="1:5" ht="31.5" thickTop="1">
      <c r="A5" s="7"/>
      <c r="B5" s="8" t="s">
        <v>5</v>
      </c>
      <c r="C5" s="9" t="s">
        <v>6</v>
      </c>
      <c r="D5" s="10" t="s">
        <v>7</v>
      </c>
      <c r="E5" s="9" t="s">
        <v>93</v>
      </c>
    </row>
    <row r="6" spans="1:5" ht="22.9" customHeight="1">
      <c r="A6" s="7"/>
      <c r="B6" s="9"/>
      <c r="C6" s="9"/>
      <c r="D6" s="9" t="s">
        <v>8</v>
      </c>
      <c r="E6" s="16"/>
    </row>
    <row r="7" spans="1:5" ht="22.9" customHeight="1">
      <c r="A7" s="7"/>
      <c r="B7" s="9"/>
      <c r="C7" s="9"/>
      <c r="D7" s="9" t="s">
        <v>9</v>
      </c>
      <c r="E7" s="9"/>
    </row>
    <row r="8" spans="1:5" ht="22.9" customHeight="1">
      <c r="A8" s="7"/>
      <c r="B8" s="9"/>
      <c r="C8" s="9"/>
      <c r="D8" s="9" t="s">
        <v>10</v>
      </c>
      <c r="E8" s="9"/>
    </row>
    <row r="9" spans="1:5" ht="22.9" customHeight="1">
      <c r="A9" s="7"/>
      <c r="B9" s="9"/>
      <c r="C9" s="9"/>
      <c r="D9" s="9" t="s">
        <v>11</v>
      </c>
      <c r="E9" s="9"/>
    </row>
    <row r="10" spans="1:5" ht="22.9" customHeight="1" thickBot="1">
      <c r="A10" s="11"/>
      <c r="B10" s="12"/>
      <c r="C10" s="12"/>
      <c r="D10" s="12" t="s">
        <v>12</v>
      </c>
      <c r="E10" s="12"/>
    </row>
    <row r="11" spans="1:5" ht="31.5" thickTop="1">
      <c r="A11" s="7"/>
      <c r="B11" s="8" t="s">
        <v>88</v>
      </c>
      <c r="C11" s="10" t="s">
        <v>89</v>
      </c>
      <c r="D11" s="10" t="s">
        <v>90</v>
      </c>
      <c r="E11" s="9" t="s">
        <v>94</v>
      </c>
    </row>
    <row r="12" spans="1:5" ht="22.9" customHeight="1" thickBot="1">
      <c r="A12" s="11"/>
      <c r="B12" s="12"/>
      <c r="C12" s="12"/>
      <c r="D12" s="12" t="s">
        <v>91</v>
      </c>
      <c r="E12" s="12"/>
    </row>
    <row r="13" spans="1:5" ht="47" thickTop="1">
      <c r="A13" s="7"/>
      <c r="B13" s="8" t="s">
        <v>100</v>
      </c>
      <c r="C13" s="10" t="s">
        <v>82</v>
      </c>
      <c r="D13" s="10" t="s">
        <v>83</v>
      </c>
      <c r="E13" s="9" t="s">
        <v>92</v>
      </c>
    </row>
    <row r="14" spans="1:5" ht="22.9" customHeight="1">
      <c r="A14" s="7"/>
      <c r="B14" s="9"/>
      <c r="C14" s="9"/>
      <c r="D14" s="9" t="s">
        <v>84</v>
      </c>
      <c r="E14" s="9"/>
    </row>
    <row r="15" spans="1:5" ht="22.9" customHeight="1">
      <c r="A15" s="7"/>
      <c r="B15" s="9"/>
      <c r="C15" s="9"/>
      <c r="D15" s="9" t="s">
        <v>85</v>
      </c>
      <c r="E15" s="9"/>
    </row>
    <row r="16" spans="1:5" ht="35.5" customHeight="1">
      <c r="A16" s="7"/>
      <c r="B16" s="9"/>
      <c r="C16" s="9"/>
      <c r="D16" s="10" t="s">
        <v>86</v>
      </c>
      <c r="E16" s="9"/>
    </row>
    <row r="17" spans="1:5" ht="22.9" customHeight="1" thickBot="1">
      <c r="A17" s="11"/>
      <c r="B17" s="12"/>
      <c r="C17" s="12"/>
      <c r="D17" s="12" t="s">
        <v>87</v>
      </c>
      <c r="E17" s="12"/>
    </row>
    <row r="18" spans="1:5" ht="22.9" hidden="1" customHeight="1" outlineLevel="1" thickTop="1">
      <c r="A18" s="7"/>
      <c r="B18" s="9"/>
      <c r="C18" s="9"/>
      <c r="D18" s="9"/>
      <c r="E18" s="9"/>
    </row>
    <row r="19" spans="1:5" ht="22.9" hidden="1" customHeight="1" outlineLevel="1">
      <c r="A19" s="7"/>
      <c r="B19" s="9"/>
      <c r="C19" s="9"/>
      <c r="D19" s="9"/>
      <c r="E19" s="9"/>
    </row>
    <row r="20" spans="1:5" ht="22.9" hidden="1" customHeight="1" outlineLevel="1">
      <c r="A20" s="7"/>
      <c r="B20" s="9"/>
      <c r="C20" s="9"/>
      <c r="D20" s="9"/>
      <c r="E20" s="9"/>
    </row>
    <row r="21" spans="1:5" ht="22.9" hidden="1" customHeight="1" outlineLevel="1">
      <c r="A21" s="7"/>
      <c r="B21" s="9"/>
      <c r="C21" s="9"/>
      <c r="D21" s="9"/>
      <c r="E21" s="9"/>
    </row>
    <row r="22" spans="1:5" ht="22.9" hidden="1" customHeight="1" outlineLevel="1">
      <c r="A22" s="7"/>
      <c r="B22" s="9"/>
      <c r="C22" s="9"/>
      <c r="D22" s="9"/>
      <c r="E22" s="9"/>
    </row>
    <row r="23" spans="1:5" ht="22.9" hidden="1" customHeight="1" outlineLevel="1">
      <c r="A23" s="7"/>
      <c r="B23" s="9"/>
      <c r="C23" s="9"/>
      <c r="D23" s="9"/>
      <c r="E23" s="9"/>
    </row>
    <row r="24" spans="1:5" ht="22.9" hidden="1" customHeight="1" outlineLevel="1">
      <c r="A24" s="7"/>
      <c r="B24" s="9"/>
      <c r="C24" s="9"/>
      <c r="D24" s="9"/>
      <c r="E24" s="9"/>
    </row>
    <row r="25" spans="1:5" ht="22.9" hidden="1" customHeight="1" outlineLevel="1">
      <c r="A25" s="7"/>
      <c r="B25" s="9"/>
      <c r="C25" s="9"/>
      <c r="D25" s="9"/>
      <c r="E25" s="9"/>
    </row>
    <row r="26" spans="1:5" ht="22.9" hidden="1" customHeight="1" outlineLevel="1">
      <c r="A26" s="7"/>
      <c r="B26" s="9"/>
      <c r="C26" s="9"/>
      <c r="D26" s="9"/>
      <c r="E26" s="9"/>
    </row>
    <row r="27" spans="1:5" ht="22.9" hidden="1" customHeight="1" outlineLevel="1">
      <c r="A27" s="7"/>
      <c r="B27" s="9"/>
      <c r="C27" s="9"/>
      <c r="D27" s="9"/>
      <c r="E27" s="9"/>
    </row>
    <row r="28" spans="1:5" ht="22.9" hidden="1" customHeight="1" outlineLevel="1">
      <c r="A28" s="7"/>
      <c r="B28" s="9"/>
      <c r="C28" s="9"/>
      <c r="D28" s="9"/>
      <c r="E28" s="9"/>
    </row>
    <row r="29" spans="1:5" ht="22.9" hidden="1" customHeight="1" outlineLevel="1">
      <c r="A29" s="7"/>
      <c r="B29" s="9"/>
      <c r="C29" s="9"/>
      <c r="D29" s="9"/>
      <c r="E29" s="9"/>
    </row>
    <row r="30" spans="1:5" ht="22.9" hidden="1" customHeight="1" outlineLevel="1">
      <c r="A30" s="7"/>
      <c r="B30" s="9"/>
      <c r="C30" s="9"/>
      <c r="D30" s="9"/>
      <c r="E30" s="9"/>
    </row>
    <row r="31" spans="1:5" ht="22.9" hidden="1" customHeight="1" outlineLevel="1">
      <c r="A31" s="7"/>
      <c r="B31" s="9"/>
      <c r="C31" s="9"/>
      <c r="D31" s="9"/>
      <c r="E31" s="9"/>
    </row>
    <row r="32" spans="1:5" ht="22.9" hidden="1" customHeight="1" outlineLevel="1">
      <c r="A32" s="7"/>
      <c r="B32" s="9"/>
      <c r="C32" s="9"/>
      <c r="D32" s="9"/>
      <c r="E32" s="9"/>
    </row>
    <row r="33" ht="22.9" customHeight="1" collapsed="1" thickTop="1"/>
  </sheetData>
  <dataConsolidate/>
  <hyperlinks>
    <hyperlink ref="B5" location="'Record First Macro'!A1" display="Record First Macro" xr:uid="{00000000-0004-0000-0000-000000000000}"/>
    <hyperlink ref="B11" location="'Blank Cells'!A1" display="Blank Cells" xr:uid="{00000000-0004-0000-0000-000001000000}"/>
    <hyperlink ref="B13" location="Summary!A1" display="Summary" xr:uid="{00000000-0004-0000-0000-000002000000}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5"/>
  <sheetViews>
    <sheetView showGridLines="0" topLeftCell="B1" zoomScale="70" zoomScaleNormal="70" workbookViewId="0">
      <selection activeCell="C4" sqref="C4:H4"/>
    </sheetView>
  </sheetViews>
  <sheetFormatPr defaultRowHeight="15.5"/>
  <cols>
    <col min="1" max="1" width="69.23046875" bestFit="1" customWidth="1"/>
  </cols>
  <sheetData>
    <row r="1" spans="1:8" ht="7.15" customHeight="1"/>
    <row r="2" spans="1:8" s="19" customFormat="1" ht="28.9" customHeight="1" thickBot="1">
      <c r="A2" s="17" t="s">
        <v>13</v>
      </c>
      <c r="D2" s="28" t="s">
        <v>102</v>
      </c>
      <c r="E2" s="28"/>
      <c r="F2" s="28"/>
      <c r="G2" s="28"/>
    </row>
    <row r="3" spans="1:8" ht="24" customHeight="1" thickTop="1" thickBot="1">
      <c r="A3" s="18" t="s">
        <v>14</v>
      </c>
    </row>
    <row r="4" spans="1:8" ht="24" customHeight="1" thickTop="1" thickBot="1">
      <c r="A4" s="18" t="s">
        <v>15</v>
      </c>
      <c r="C4" s="20" t="s">
        <v>103</v>
      </c>
      <c r="D4" s="20" t="s">
        <v>104</v>
      </c>
      <c r="E4" s="20" t="s">
        <v>105</v>
      </c>
      <c r="F4" s="20" t="s">
        <v>106</v>
      </c>
      <c r="G4" s="20" t="s">
        <v>107</v>
      </c>
      <c r="H4" s="20" t="s">
        <v>108</v>
      </c>
    </row>
    <row r="5" spans="1:8" ht="24" customHeight="1" thickTop="1" thickBot="1">
      <c r="A5" s="18" t="s">
        <v>22</v>
      </c>
    </row>
    <row r="6" spans="1:8" ht="24" customHeight="1" thickTop="1" thickBot="1">
      <c r="A6" s="18" t="s">
        <v>23</v>
      </c>
    </row>
    <row r="7" spans="1:8" ht="24" customHeight="1" thickTop="1" thickBot="1">
      <c r="A7" s="18" t="s">
        <v>24</v>
      </c>
    </row>
    <row r="8" spans="1:8" ht="24" customHeight="1" thickTop="1" thickBot="1">
      <c r="A8" s="18" t="s">
        <v>25</v>
      </c>
    </row>
    <row r="9" spans="1:8" ht="24" customHeight="1" thickTop="1" thickBot="1">
      <c r="A9" s="18" t="s">
        <v>26</v>
      </c>
    </row>
    <row r="10" spans="1:8" ht="24" customHeight="1" thickTop="1" thickBot="1">
      <c r="A10" s="18" t="s">
        <v>16</v>
      </c>
    </row>
    <row r="11" spans="1:8" ht="24" customHeight="1" thickTop="1" thickBot="1">
      <c r="A11" s="18" t="s">
        <v>33</v>
      </c>
    </row>
    <row r="12" spans="1:8" ht="24" customHeight="1" thickTop="1" thickBot="1">
      <c r="A12" s="18" t="s">
        <v>20</v>
      </c>
    </row>
    <row r="13" spans="1:8" ht="24" customHeight="1" thickTop="1" thickBot="1">
      <c r="A13" s="18" t="s">
        <v>28</v>
      </c>
    </row>
    <row r="14" spans="1:8" ht="24" customHeight="1" thickTop="1" thickBot="1">
      <c r="A14" s="18" t="s">
        <v>29</v>
      </c>
    </row>
    <row r="15" spans="1:8" ht="24" customHeight="1" thickTop="1" thickBot="1">
      <c r="A15" s="18" t="s">
        <v>21</v>
      </c>
    </row>
    <row r="16" spans="1:8" ht="24" customHeight="1" thickTop="1" thickBot="1">
      <c r="A16" s="18" t="s">
        <v>34</v>
      </c>
    </row>
    <row r="17" spans="1:1" ht="24" customHeight="1" thickTop="1" thickBot="1">
      <c r="A17" s="18" t="s">
        <v>30</v>
      </c>
    </row>
    <row r="18" spans="1:1" ht="24" customHeight="1" thickTop="1" thickBot="1">
      <c r="A18" s="18" t="s">
        <v>31</v>
      </c>
    </row>
    <row r="19" spans="1:1" ht="24" customHeight="1" thickTop="1" thickBot="1">
      <c r="A19" s="18" t="s">
        <v>35</v>
      </c>
    </row>
    <row r="20" spans="1:1" ht="24" customHeight="1" thickTop="1" thickBot="1">
      <c r="A20" s="18" t="s">
        <v>27</v>
      </c>
    </row>
    <row r="21" spans="1:1" ht="24" customHeight="1" thickTop="1" thickBot="1">
      <c r="A21" s="18" t="s">
        <v>17</v>
      </c>
    </row>
    <row r="22" spans="1:1" ht="24" customHeight="1" thickTop="1" thickBot="1">
      <c r="A22" s="18" t="s">
        <v>32</v>
      </c>
    </row>
    <row r="23" spans="1:1" ht="24" customHeight="1" thickTop="1" thickBot="1">
      <c r="A23" s="18" t="s">
        <v>18</v>
      </c>
    </row>
    <row r="24" spans="1:1" ht="24" customHeight="1" thickTop="1" thickBot="1">
      <c r="A24" s="18" t="s">
        <v>19</v>
      </c>
    </row>
    <row r="25" spans="1:1" ht="16" thickTop="1"/>
  </sheetData>
  <mergeCells count="1">
    <mergeCell ref="D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esreport">
                <anchor moveWithCells="1" sizeWithCells="1">
                  <from>
                    <xdr:col>9</xdr:col>
                    <xdr:colOff>444500</xdr:colOff>
                    <xdr:row>2</xdr:row>
                    <xdr:rowOff>146050</xdr:rowOff>
                  </from>
                  <to>
                    <xdr:col>11</xdr:col>
                    <xdr:colOff>488950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F62"/>
  <sheetViews>
    <sheetView workbookViewId="0">
      <selection activeCell="D6" sqref="D6:D16"/>
    </sheetView>
  </sheetViews>
  <sheetFormatPr defaultRowHeight="15.5"/>
  <cols>
    <col min="1" max="1" width="10.15234375" customWidth="1"/>
    <col min="2" max="2" width="10.765625" bestFit="1" customWidth="1"/>
    <col min="3" max="3" width="8.15234375" bestFit="1" customWidth="1"/>
    <col min="4" max="4" width="6.84375" bestFit="1" customWidth="1"/>
    <col min="5" max="5" width="12.3828125" bestFit="1" customWidth="1"/>
    <col min="6" max="6" width="13.15234375" bestFit="1" customWidth="1"/>
  </cols>
  <sheetData>
    <row r="1" spans="1:6" s="20" customFormat="1" ht="16" thickBot="1">
      <c r="A1" s="21" t="s">
        <v>36</v>
      </c>
      <c r="B1" s="21"/>
      <c r="C1" s="21"/>
      <c r="D1" s="21"/>
      <c r="E1" s="21"/>
      <c r="F1" s="21"/>
    </row>
    <row r="2" spans="1:6" ht="20.5" customHeight="1">
      <c r="A2" t="s">
        <v>109</v>
      </c>
    </row>
    <row r="3" spans="1:6" ht="20.5" customHeight="1">
      <c r="A3" t="s">
        <v>110</v>
      </c>
    </row>
    <row r="5" spans="1:6" s="20" customFormat="1" ht="19.899999999999999" customHeight="1">
      <c r="A5" s="22" t="s">
        <v>111</v>
      </c>
      <c r="B5" s="22" t="s">
        <v>112</v>
      </c>
      <c r="C5" s="22" t="s">
        <v>113</v>
      </c>
      <c r="D5" s="22" t="s">
        <v>81</v>
      </c>
      <c r="E5" s="22" t="s">
        <v>114</v>
      </c>
      <c r="F5" s="22" t="s">
        <v>115</v>
      </c>
    </row>
    <row r="6" spans="1:6" ht="19.899999999999999" customHeight="1">
      <c r="A6" t="s">
        <v>116</v>
      </c>
      <c r="B6" t="s">
        <v>44</v>
      </c>
      <c r="C6" t="s">
        <v>45</v>
      </c>
      <c r="D6" t="s">
        <v>97</v>
      </c>
      <c r="E6" s="23">
        <v>10200</v>
      </c>
      <c r="F6" s="23">
        <v>10404</v>
      </c>
    </row>
    <row r="7" spans="1:6" ht="19.899999999999999" customHeight="1">
      <c r="A7" t="s">
        <v>117</v>
      </c>
      <c r="B7" t="s">
        <v>44</v>
      </c>
      <c r="C7" t="s">
        <v>45</v>
      </c>
      <c r="D7" t="s">
        <v>97</v>
      </c>
      <c r="E7" s="23">
        <v>12240</v>
      </c>
      <c r="F7" s="23">
        <v>12484.800000000001</v>
      </c>
    </row>
    <row r="8" spans="1:6" ht="19.899999999999999" customHeight="1">
      <c r="A8" t="s">
        <v>118</v>
      </c>
      <c r="B8" t="s">
        <v>44</v>
      </c>
      <c r="C8" t="s">
        <v>45</v>
      </c>
      <c r="D8" t="s">
        <v>97</v>
      </c>
      <c r="E8" s="23">
        <v>14688</v>
      </c>
      <c r="F8" s="23">
        <v>14981.76</v>
      </c>
    </row>
    <row r="9" spans="1:6" ht="19.899999999999999" customHeight="1">
      <c r="A9" t="s">
        <v>119</v>
      </c>
      <c r="B9" t="s">
        <v>44</v>
      </c>
      <c r="C9" t="s">
        <v>45</v>
      </c>
      <c r="D9" t="s">
        <v>97</v>
      </c>
      <c r="E9" s="23">
        <f>F9*1.2</f>
        <v>21573.734399999998</v>
      </c>
      <c r="F9" s="23">
        <v>17978.111999999997</v>
      </c>
    </row>
    <row r="10" spans="1:6" ht="19.899999999999999" customHeight="1">
      <c r="A10" t="s">
        <v>120</v>
      </c>
      <c r="B10" t="s">
        <v>51</v>
      </c>
      <c r="C10" t="s">
        <v>45</v>
      </c>
      <c r="D10" t="s">
        <v>97</v>
      </c>
      <c r="E10" s="23">
        <v>10300</v>
      </c>
      <c r="F10" s="23">
        <v>10506</v>
      </c>
    </row>
    <row r="11" spans="1:6" ht="19.899999999999999" customHeight="1">
      <c r="A11" t="s">
        <v>121</v>
      </c>
      <c r="B11" t="s">
        <v>51</v>
      </c>
      <c r="C11" t="s">
        <v>45</v>
      </c>
      <c r="D11" t="s">
        <v>97</v>
      </c>
      <c r="E11" s="23">
        <v>12360</v>
      </c>
      <c r="F11" s="23">
        <v>12607.2</v>
      </c>
    </row>
    <row r="12" spans="1:6" ht="19.899999999999999" customHeight="1">
      <c r="A12" t="s">
        <v>122</v>
      </c>
      <c r="B12" t="s">
        <v>51</v>
      </c>
      <c r="C12" t="s">
        <v>45</v>
      </c>
      <c r="D12" t="s">
        <v>97</v>
      </c>
      <c r="E12" s="23">
        <v>14832</v>
      </c>
      <c r="F12" s="23">
        <v>15128.64</v>
      </c>
    </row>
    <row r="13" spans="1:6" ht="19.899999999999999" customHeight="1">
      <c r="A13" t="s">
        <v>123</v>
      </c>
      <c r="B13" t="s">
        <v>51</v>
      </c>
      <c r="C13" t="s">
        <v>45</v>
      </c>
      <c r="D13" t="s">
        <v>97</v>
      </c>
      <c r="E13" s="23">
        <v>17798.399999999998</v>
      </c>
      <c r="F13" s="23">
        <v>18154.367999999999</v>
      </c>
    </row>
    <row r="14" spans="1:6" ht="19.899999999999999" customHeight="1">
      <c r="A14" t="s">
        <v>124</v>
      </c>
      <c r="B14" t="s">
        <v>56</v>
      </c>
      <c r="C14" t="s">
        <v>57</v>
      </c>
      <c r="D14" t="s">
        <v>97</v>
      </c>
      <c r="E14" s="23">
        <v>10400</v>
      </c>
      <c r="F14" s="23">
        <v>10608</v>
      </c>
    </row>
    <row r="15" spans="1:6" ht="19.899999999999999" customHeight="1">
      <c r="A15" t="s">
        <v>125</v>
      </c>
      <c r="B15" t="s">
        <v>56</v>
      </c>
      <c r="C15" t="s">
        <v>57</v>
      </c>
      <c r="D15" t="s">
        <v>97</v>
      </c>
      <c r="E15" s="23">
        <f>F15</f>
        <v>12729.6</v>
      </c>
      <c r="F15" s="23">
        <v>12729.6</v>
      </c>
    </row>
    <row r="16" spans="1:6" ht="19.899999999999999" customHeight="1">
      <c r="A16" t="s">
        <v>126</v>
      </c>
      <c r="B16" t="s">
        <v>56</v>
      </c>
      <c r="C16" t="s">
        <v>57</v>
      </c>
      <c r="D16" t="s">
        <v>97</v>
      </c>
      <c r="E16" s="23">
        <v>14976</v>
      </c>
      <c r="F16" s="23">
        <v>15275.52</v>
      </c>
    </row>
    <row r="17" spans="1:6" ht="19.899999999999999" customHeight="1">
      <c r="A17" t="s">
        <v>127</v>
      </c>
      <c r="B17" t="s">
        <v>61</v>
      </c>
      <c r="C17" t="s">
        <v>57</v>
      </c>
      <c r="D17" t="s">
        <v>97</v>
      </c>
      <c r="E17" s="23">
        <v>20000</v>
      </c>
      <c r="F17" s="23">
        <v>20400</v>
      </c>
    </row>
    <row r="18" spans="1:6" ht="19.899999999999999" customHeight="1">
      <c r="A18" t="s">
        <v>128</v>
      </c>
      <c r="B18" t="s">
        <v>61</v>
      </c>
      <c r="C18" t="s">
        <v>57</v>
      </c>
      <c r="D18" t="s">
        <v>97</v>
      </c>
      <c r="E18" s="23">
        <v>24000</v>
      </c>
      <c r="F18" s="23">
        <v>24480</v>
      </c>
    </row>
    <row r="19" spans="1:6" ht="19.899999999999999" customHeight="1">
      <c r="A19" t="s">
        <v>129</v>
      </c>
      <c r="B19" t="s">
        <v>61</v>
      </c>
      <c r="C19" t="s">
        <v>57</v>
      </c>
      <c r="D19" t="s">
        <v>97</v>
      </c>
      <c r="E19" s="23">
        <v>28800</v>
      </c>
      <c r="F19" s="23">
        <v>29376</v>
      </c>
    </row>
    <row r="20" spans="1:6" ht="19.899999999999999" customHeight="1">
      <c r="A20" t="s">
        <v>130</v>
      </c>
      <c r="B20" t="s">
        <v>61</v>
      </c>
      <c r="C20" t="s">
        <v>57</v>
      </c>
      <c r="D20" t="s">
        <v>97</v>
      </c>
      <c r="E20" s="23">
        <v>34560</v>
      </c>
      <c r="F20" s="23">
        <v>35251.199999999997</v>
      </c>
    </row>
    <row r="21" spans="1:6" ht="19.899999999999999" customHeight="1">
      <c r="A21" t="s">
        <v>131</v>
      </c>
      <c r="B21" t="s">
        <v>66</v>
      </c>
      <c r="C21" t="s">
        <v>57</v>
      </c>
      <c r="D21" t="s">
        <v>97</v>
      </c>
      <c r="E21" s="23">
        <v>41472</v>
      </c>
      <c r="F21" s="23">
        <v>42301.440000000002</v>
      </c>
    </row>
    <row r="22" spans="1:6" ht="19.899999999999999" customHeight="1">
      <c r="A22" t="s">
        <v>132</v>
      </c>
      <c r="B22" t="s">
        <v>68</v>
      </c>
      <c r="C22" t="s">
        <v>69</v>
      </c>
      <c r="D22" t="s">
        <v>97</v>
      </c>
      <c r="E22" s="23">
        <v>49766.400000000001</v>
      </c>
      <c r="F22" s="23">
        <v>50761.728000000003</v>
      </c>
    </row>
    <row r="23" spans="1:6" ht="19.899999999999999" customHeight="1">
      <c r="A23" t="s">
        <v>133</v>
      </c>
      <c r="B23" t="s">
        <v>68</v>
      </c>
      <c r="C23" t="s">
        <v>69</v>
      </c>
      <c r="D23" t="s">
        <v>46</v>
      </c>
      <c r="E23" s="23">
        <v>10500</v>
      </c>
      <c r="F23" s="23">
        <v>10710</v>
      </c>
    </row>
    <row r="24" spans="1:6" ht="19.899999999999999" customHeight="1">
      <c r="A24" t="s">
        <v>134</v>
      </c>
      <c r="B24" t="s">
        <v>68</v>
      </c>
      <c r="C24" t="s">
        <v>69</v>
      </c>
      <c r="D24" t="s">
        <v>97</v>
      </c>
      <c r="E24" s="23">
        <v>23731.107840000001</v>
      </c>
      <c r="F24" s="23">
        <v>21573.734399999998</v>
      </c>
    </row>
    <row r="25" spans="1:6" ht="19.899999999999999" customHeight="1">
      <c r="A25" t="s">
        <v>135</v>
      </c>
      <c r="B25" t="s">
        <v>68</v>
      </c>
      <c r="C25" t="s">
        <v>69</v>
      </c>
      <c r="D25" t="s">
        <v>97</v>
      </c>
      <c r="E25" s="23">
        <v>25380.863999999998</v>
      </c>
      <c r="F25" s="23">
        <v>25888.48128</v>
      </c>
    </row>
    <row r="26" spans="1:6" ht="19.899999999999999" customHeight="1">
      <c r="A26" t="s">
        <v>136</v>
      </c>
      <c r="B26" t="s">
        <v>74</v>
      </c>
      <c r="C26" t="s">
        <v>69</v>
      </c>
      <c r="D26" t="s">
        <v>97</v>
      </c>
      <c r="E26" s="23">
        <v>30457.036799999994</v>
      </c>
      <c r="F26" s="23">
        <v>31066.177535999996</v>
      </c>
    </row>
    <row r="27" spans="1:6" ht="19.899999999999999" customHeight="1">
      <c r="A27" t="s">
        <v>137</v>
      </c>
      <c r="B27" t="s">
        <v>74</v>
      </c>
      <c r="C27" t="s">
        <v>69</v>
      </c>
      <c r="D27" t="s">
        <v>46</v>
      </c>
      <c r="E27" s="23">
        <v>10200</v>
      </c>
      <c r="F27" s="23">
        <v>10404</v>
      </c>
    </row>
    <row r="28" spans="1:6" ht="19.899999999999999" customHeight="1">
      <c r="A28" t="s">
        <v>138</v>
      </c>
      <c r="B28" t="s">
        <v>74</v>
      </c>
      <c r="C28" t="s">
        <v>69</v>
      </c>
      <c r="D28" t="s">
        <v>97</v>
      </c>
      <c r="E28" s="23">
        <v>12240</v>
      </c>
      <c r="F28" s="23">
        <v>12484.800000000001</v>
      </c>
    </row>
    <row r="29" spans="1:6" ht="19.899999999999999" customHeight="1">
      <c r="A29" t="s">
        <v>139</v>
      </c>
      <c r="B29" t="s">
        <v>74</v>
      </c>
      <c r="C29" t="s">
        <v>69</v>
      </c>
      <c r="D29" t="s">
        <v>97</v>
      </c>
      <c r="E29" s="23">
        <v>14688</v>
      </c>
      <c r="F29" s="23">
        <v>14981.76</v>
      </c>
    </row>
    <row r="30" spans="1:6" ht="19.899999999999999" customHeight="1">
      <c r="A30" t="s">
        <v>140</v>
      </c>
      <c r="B30" t="s">
        <v>79</v>
      </c>
      <c r="C30" t="s">
        <v>69</v>
      </c>
      <c r="D30" t="s">
        <v>46</v>
      </c>
      <c r="E30" s="23">
        <v>10100</v>
      </c>
      <c r="F30" s="23">
        <v>10302</v>
      </c>
    </row>
    <row r="31" spans="1:6" ht="19.899999999999999" customHeight="1">
      <c r="A31" t="s">
        <v>141</v>
      </c>
      <c r="B31" t="s">
        <v>79</v>
      </c>
      <c r="C31" t="s">
        <v>69</v>
      </c>
      <c r="D31" t="s">
        <v>46</v>
      </c>
      <c r="E31" s="23">
        <v>10300</v>
      </c>
      <c r="F31" s="23">
        <v>10506</v>
      </c>
    </row>
    <row r="34" spans="1:6" s="20" customFormat="1">
      <c r="A34" s="24" t="s">
        <v>142</v>
      </c>
      <c r="B34" s="24"/>
      <c r="C34" s="24"/>
      <c r="D34" s="24"/>
      <c r="E34" s="24"/>
      <c r="F34" s="24"/>
    </row>
    <row r="36" spans="1:6" s="20" customFormat="1" ht="19.899999999999999" customHeight="1">
      <c r="A36" s="22" t="s">
        <v>111</v>
      </c>
      <c r="B36" s="22" t="s">
        <v>112</v>
      </c>
      <c r="C36" s="22" t="s">
        <v>113</v>
      </c>
      <c r="D36" s="22" t="s">
        <v>40</v>
      </c>
      <c r="E36" s="22" t="s">
        <v>114</v>
      </c>
      <c r="F36" s="22" t="s">
        <v>115</v>
      </c>
    </row>
    <row r="37" spans="1:6" ht="19.899999999999999" customHeight="1">
      <c r="A37" t="s">
        <v>116</v>
      </c>
      <c r="B37" t="s">
        <v>44</v>
      </c>
      <c r="C37" t="s">
        <v>45</v>
      </c>
      <c r="E37" s="23">
        <v>10200</v>
      </c>
      <c r="F37" s="23">
        <v>10404</v>
      </c>
    </row>
    <row r="38" spans="1:6" ht="19.899999999999999" customHeight="1">
      <c r="A38" t="s">
        <v>117</v>
      </c>
      <c r="B38" t="s">
        <v>44</v>
      </c>
      <c r="C38" t="s">
        <v>45</v>
      </c>
      <c r="D38" t="s">
        <v>46</v>
      </c>
      <c r="E38" s="23">
        <v>12240</v>
      </c>
      <c r="F38" s="23">
        <v>12484.800000000001</v>
      </c>
    </row>
    <row r="39" spans="1:6" ht="19.899999999999999" customHeight="1">
      <c r="A39" t="s">
        <v>118</v>
      </c>
      <c r="B39" t="s">
        <v>44</v>
      </c>
      <c r="C39" t="s">
        <v>45</v>
      </c>
      <c r="E39" s="23">
        <f>F39*1.2</f>
        <v>17978.112000000001</v>
      </c>
      <c r="F39" s="23">
        <v>14981.76</v>
      </c>
    </row>
    <row r="40" spans="1:6" ht="19.899999999999999" customHeight="1">
      <c r="A40" t="s">
        <v>119</v>
      </c>
      <c r="B40" t="s">
        <v>44</v>
      </c>
      <c r="C40" t="s">
        <v>45</v>
      </c>
      <c r="E40" s="23">
        <f>F40*1.2</f>
        <v>21573.734399999998</v>
      </c>
      <c r="F40" s="23">
        <v>17978.111999999997</v>
      </c>
    </row>
    <row r="41" spans="1:6" ht="19.899999999999999" customHeight="1">
      <c r="A41" t="s">
        <v>120</v>
      </c>
      <c r="B41" t="s">
        <v>51</v>
      </c>
      <c r="C41" t="s">
        <v>45</v>
      </c>
      <c r="E41" s="23">
        <v>10300</v>
      </c>
      <c r="F41" s="23">
        <v>10506</v>
      </c>
    </row>
    <row r="42" spans="1:6" ht="19.899999999999999" customHeight="1">
      <c r="A42" t="s">
        <v>121</v>
      </c>
      <c r="B42" t="s">
        <v>51</v>
      </c>
      <c r="C42" t="s">
        <v>45</v>
      </c>
      <c r="E42" s="23">
        <f>F42*1.2</f>
        <v>15128.64</v>
      </c>
      <c r="F42" s="23">
        <v>12607.2</v>
      </c>
    </row>
    <row r="43" spans="1:6" ht="19.899999999999999" customHeight="1">
      <c r="A43" t="s">
        <v>122</v>
      </c>
      <c r="B43" t="s">
        <v>51</v>
      </c>
      <c r="C43" t="s">
        <v>45</v>
      </c>
      <c r="E43" s="23">
        <v>14832</v>
      </c>
      <c r="F43" s="23">
        <v>15128.64</v>
      </c>
    </row>
    <row r="44" spans="1:6" ht="19.899999999999999" customHeight="1">
      <c r="A44" t="s">
        <v>123</v>
      </c>
      <c r="B44" t="s">
        <v>51</v>
      </c>
      <c r="C44" t="s">
        <v>45</v>
      </c>
      <c r="D44" t="s">
        <v>46</v>
      </c>
      <c r="E44" s="23">
        <f>F44*1.2</f>
        <v>21785.241599999998</v>
      </c>
      <c r="F44" s="23">
        <v>18154.367999999999</v>
      </c>
    </row>
    <row r="45" spans="1:6" ht="19.899999999999999" customHeight="1">
      <c r="A45" t="s">
        <v>124</v>
      </c>
      <c r="B45" t="s">
        <v>56</v>
      </c>
      <c r="C45" t="s">
        <v>57</v>
      </c>
      <c r="E45" s="23">
        <v>10400</v>
      </c>
      <c r="F45" s="23">
        <v>10608</v>
      </c>
    </row>
    <row r="46" spans="1:6" ht="19.899999999999999" customHeight="1">
      <c r="A46" t="s">
        <v>125</v>
      </c>
      <c r="B46" t="s">
        <v>56</v>
      </c>
      <c r="C46" t="s">
        <v>57</v>
      </c>
      <c r="E46" s="23">
        <f t="shared" ref="E46:E50" si="0">F46*1.2</f>
        <v>15275.52</v>
      </c>
      <c r="F46" s="23">
        <v>12729.6</v>
      </c>
    </row>
    <row r="47" spans="1:6" ht="19.899999999999999" customHeight="1">
      <c r="A47" t="s">
        <v>126</v>
      </c>
      <c r="B47" t="s">
        <v>56</v>
      </c>
      <c r="C47" t="s">
        <v>57</v>
      </c>
      <c r="E47" s="23">
        <f t="shared" si="0"/>
        <v>18330.624</v>
      </c>
      <c r="F47" s="23">
        <v>15275.52</v>
      </c>
    </row>
    <row r="48" spans="1:6" ht="19.899999999999999" customHeight="1">
      <c r="A48" t="s">
        <v>127</v>
      </c>
      <c r="B48" t="s">
        <v>61</v>
      </c>
      <c r="C48" t="s">
        <v>57</v>
      </c>
      <c r="D48" t="s">
        <v>46</v>
      </c>
      <c r="E48" s="23">
        <f t="shared" si="0"/>
        <v>24480</v>
      </c>
      <c r="F48" s="23">
        <v>20400</v>
      </c>
    </row>
    <row r="49" spans="1:6" ht="19.899999999999999" customHeight="1">
      <c r="A49" t="s">
        <v>128</v>
      </c>
      <c r="B49" t="s">
        <v>61</v>
      </c>
      <c r="C49" t="s">
        <v>57</v>
      </c>
      <c r="E49" s="23">
        <f t="shared" si="0"/>
        <v>29376</v>
      </c>
      <c r="F49" s="23">
        <v>24480</v>
      </c>
    </row>
    <row r="50" spans="1:6" ht="19.899999999999999" customHeight="1">
      <c r="A50" t="s">
        <v>129</v>
      </c>
      <c r="B50" t="s">
        <v>61</v>
      </c>
      <c r="C50" t="s">
        <v>57</v>
      </c>
      <c r="E50" s="23">
        <f t="shared" si="0"/>
        <v>35251.199999999997</v>
      </c>
      <c r="F50" s="23">
        <v>29376</v>
      </c>
    </row>
    <row r="51" spans="1:6" ht="19.899999999999999" customHeight="1">
      <c r="A51" t="s">
        <v>130</v>
      </c>
      <c r="B51" t="s">
        <v>61</v>
      </c>
      <c r="C51" t="s">
        <v>57</v>
      </c>
      <c r="E51" s="23">
        <v>34560</v>
      </c>
      <c r="F51" s="23">
        <v>35251.199999999997</v>
      </c>
    </row>
    <row r="52" spans="1:6" ht="19.899999999999999" customHeight="1">
      <c r="A52" t="s">
        <v>131</v>
      </c>
      <c r="B52" t="s">
        <v>66</v>
      </c>
      <c r="C52" t="s">
        <v>57</v>
      </c>
      <c r="E52" s="23">
        <v>41472</v>
      </c>
      <c r="F52" s="23">
        <v>42301.440000000002</v>
      </c>
    </row>
    <row r="53" spans="1:6" ht="19.899999999999999" customHeight="1">
      <c r="A53" t="s">
        <v>132</v>
      </c>
      <c r="B53" t="s">
        <v>68</v>
      </c>
      <c r="C53" t="s">
        <v>69</v>
      </c>
      <c r="E53" s="23">
        <v>49766.400000000001</v>
      </c>
      <c r="F53" s="23">
        <v>50761.728000000003</v>
      </c>
    </row>
    <row r="54" spans="1:6" ht="19.899999999999999" customHeight="1">
      <c r="A54" t="s">
        <v>133</v>
      </c>
      <c r="B54" t="s">
        <v>68</v>
      </c>
      <c r="C54" t="s">
        <v>69</v>
      </c>
      <c r="E54" s="23">
        <v>10500</v>
      </c>
      <c r="F54" s="23">
        <v>10710</v>
      </c>
    </row>
    <row r="55" spans="1:6" ht="19.899999999999999" customHeight="1">
      <c r="A55" t="s">
        <v>134</v>
      </c>
      <c r="B55" t="s">
        <v>68</v>
      </c>
      <c r="C55" t="s">
        <v>69</v>
      </c>
      <c r="E55" s="23">
        <f>F55</f>
        <v>21573.734399999998</v>
      </c>
      <c r="F55" s="23">
        <v>21573.734399999998</v>
      </c>
    </row>
    <row r="56" spans="1:6" ht="19.899999999999999" customHeight="1">
      <c r="A56" t="s">
        <v>135</v>
      </c>
      <c r="B56" t="s">
        <v>68</v>
      </c>
      <c r="C56" t="s">
        <v>69</v>
      </c>
      <c r="E56" s="23">
        <v>25380.863999999998</v>
      </c>
      <c r="F56" s="23">
        <v>25888.48128</v>
      </c>
    </row>
    <row r="57" spans="1:6" ht="19.899999999999999" customHeight="1">
      <c r="A57" t="s">
        <v>136</v>
      </c>
      <c r="B57" t="s">
        <v>74</v>
      </c>
      <c r="C57" t="s">
        <v>69</v>
      </c>
      <c r="E57" s="23">
        <v>30457.036799999994</v>
      </c>
      <c r="F57" s="23">
        <v>31066.177535999996</v>
      </c>
    </row>
    <row r="58" spans="1:6" ht="19.899999999999999" customHeight="1">
      <c r="A58" t="s">
        <v>137</v>
      </c>
      <c r="B58" t="s">
        <v>74</v>
      </c>
      <c r="C58" t="s">
        <v>69</v>
      </c>
      <c r="E58" s="23">
        <v>10200</v>
      </c>
      <c r="F58" s="23">
        <v>10404</v>
      </c>
    </row>
    <row r="59" spans="1:6" ht="19.899999999999999" customHeight="1">
      <c r="A59" t="s">
        <v>138</v>
      </c>
      <c r="B59" t="s">
        <v>74</v>
      </c>
      <c r="C59" t="s">
        <v>69</v>
      </c>
      <c r="E59" s="23">
        <v>12240</v>
      </c>
      <c r="F59" s="23">
        <v>12484.800000000001</v>
      </c>
    </row>
    <row r="60" spans="1:6" ht="19.899999999999999" customHeight="1">
      <c r="A60" t="s">
        <v>139</v>
      </c>
      <c r="B60" t="s">
        <v>74</v>
      </c>
      <c r="C60" t="s">
        <v>69</v>
      </c>
      <c r="E60" s="23">
        <f>F60</f>
        <v>14981.76</v>
      </c>
      <c r="F60" s="23">
        <v>14981.76</v>
      </c>
    </row>
    <row r="61" spans="1:6" ht="19.899999999999999" customHeight="1">
      <c r="A61" t="s">
        <v>140</v>
      </c>
      <c r="B61" t="s">
        <v>79</v>
      </c>
      <c r="C61" t="s">
        <v>69</v>
      </c>
      <c r="E61" s="23">
        <v>10100</v>
      </c>
      <c r="F61" s="23">
        <v>10302</v>
      </c>
    </row>
    <row r="62" spans="1:6" ht="19.899999999999999" customHeight="1">
      <c r="A62" t="s">
        <v>141</v>
      </c>
      <c r="B62" t="s">
        <v>79</v>
      </c>
      <c r="C62" t="s">
        <v>69</v>
      </c>
      <c r="E62" s="23">
        <v>10300</v>
      </c>
      <c r="F62" s="23">
        <v>10506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lankcells">
                <anchor moveWithCells="1" sizeWithCells="1">
                  <from>
                    <xdr:col>8</xdr:col>
                    <xdr:colOff>368300</xdr:colOff>
                    <xdr:row>6</xdr:row>
                    <xdr:rowOff>184150</xdr:rowOff>
                  </from>
                  <to>
                    <xdr:col>9</xdr:col>
                    <xdr:colOff>622300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8"/>
  <sheetViews>
    <sheetView showGridLines="0" workbookViewId="0">
      <selection activeCell="C17" sqref="C17"/>
    </sheetView>
  </sheetViews>
  <sheetFormatPr defaultRowHeight="15.5"/>
  <cols>
    <col min="1" max="1" width="9.15234375" customWidth="1"/>
    <col min="2" max="2" width="10.765625" bestFit="1" customWidth="1"/>
    <col min="3" max="3" width="8.15234375" bestFit="1" customWidth="1"/>
    <col min="4" max="4" width="7" bestFit="1" customWidth="1"/>
    <col min="5" max="5" width="12.3828125" bestFit="1" customWidth="1"/>
    <col min="6" max="6" width="13.15234375" bestFit="1" customWidth="1"/>
  </cols>
  <sheetData>
    <row r="1" spans="1:6" s="20" customFormat="1" ht="16" thickBot="1">
      <c r="A1" s="21" t="s">
        <v>95</v>
      </c>
      <c r="B1" s="21"/>
      <c r="C1" s="21"/>
      <c r="D1" s="21"/>
    </row>
    <row r="2" spans="1:6" ht="21" customHeight="1">
      <c r="A2" t="s">
        <v>96</v>
      </c>
    </row>
    <row r="3" spans="1:6" s="25" customFormat="1" ht="33" customHeight="1">
      <c r="A3" s="26" t="s">
        <v>37</v>
      </c>
      <c r="B3" s="26" t="s">
        <v>38</v>
      </c>
      <c r="C3" s="26" t="s">
        <v>39</v>
      </c>
      <c r="D3" s="26" t="s">
        <v>81</v>
      </c>
      <c r="E3" s="26" t="s">
        <v>41</v>
      </c>
      <c r="F3" s="26" t="s">
        <v>42</v>
      </c>
    </row>
    <row r="4" spans="1:6">
      <c r="A4" t="s">
        <v>43</v>
      </c>
      <c r="B4" t="s">
        <v>44</v>
      </c>
      <c r="C4" t="s">
        <v>45</v>
      </c>
      <c r="D4" t="s">
        <v>46</v>
      </c>
      <c r="E4" s="23">
        <v>10200</v>
      </c>
      <c r="F4" s="23">
        <v>10404</v>
      </c>
    </row>
    <row r="5" spans="1:6">
      <c r="A5" t="s">
        <v>47</v>
      </c>
      <c r="B5" t="s">
        <v>44</v>
      </c>
      <c r="C5" t="s">
        <v>45</v>
      </c>
      <c r="D5" t="s">
        <v>97</v>
      </c>
      <c r="E5" s="23">
        <v>12240</v>
      </c>
      <c r="F5" s="23">
        <v>12484.800000000001</v>
      </c>
    </row>
    <row r="6" spans="1:6">
      <c r="A6" t="s">
        <v>48</v>
      </c>
      <c r="B6" t="s">
        <v>44</v>
      </c>
      <c r="C6" t="s">
        <v>45</v>
      </c>
      <c r="D6" t="s">
        <v>97</v>
      </c>
      <c r="E6" s="23">
        <v>14688</v>
      </c>
      <c r="F6" s="23">
        <v>14981.76</v>
      </c>
    </row>
    <row r="7" spans="1:6">
      <c r="A7" t="s">
        <v>49</v>
      </c>
      <c r="B7" t="s">
        <v>44</v>
      </c>
      <c r="C7" t="s">
        <v>45</v>
      </c>
      <c r="D7" t="s">
        <v>97</v>
      </c>
      <c r="E7" s="23">
        <v>19775.923199999997</v>
      </c>
      <c r="F7" s="23">
        <v>17978.111999999997</v>
      </c>
    </row>
    <row r="8" spans="1:6">
      <c r="A8" t="s">
        <v>50</v>
      </c>
      <c r="B8" t="s">
        <v>51</v>
      </c>
      <c r="C8" t="s">
        <v>45</v>
      </c>
      <c r="D8" t="s">
        <v>46</v>
      </c>
      <c r="E8" s="23">
        <v>10300</v>
      </c>
      <c r="F8" s="23">
        <v>10506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7"/>
  <sheetViews>
    <sheetView showGridLines="0" workbookViewId="0">
      <selection activeCell="B8" sqref="B8"/>
    </sheetView>
  </sheetViews>
  <sheetFormatPr defaultRowHeight="15.5"/>
  <cols>
    <col min="1" max="1" width="10.15234375" customWidth="1"/>
    <col min="2" max="2" width="10.765625" bestFit="1" customWidth="1"/>
    <col min="3" max="3" width="8.15234375" bestFit="1" customWidth="1"/>
    <col min="4" max="4" width="7" bestFit="1" customWidth="1"/>
    <col min="5" max="5" width="12.3828125" bestFit="1" customWidth="1"/>
    <col min="6" max="6" width="13.15234375" bestFit="1" customWidth="1"/>
  </cols>
  <sheetData>
    <row r="1" spans="1:6" s="25" customFormat="1" ht="23.5" customHeight="1" thickBot="1">
      <c r="A1" s="27" t="s">
        <v>98</v>
      </c>
      <c r="B1" s="27"/>
      <c r="C1" s="27"/>
      <c r="D1" s="27"/>
      <c r="E1" s="27"/>
      <c r="F1" s="27"/>
    </row>
    <row r="2" spans="1:6" s="1" customFormat="1" ht="19.899999999999999" customHeight="1">
      <c r="A2" s="1" t="s">
        <v>99</v>
      </c>
    </row>
    <row r="3" spans="1:6" s="25" customFormat="1" ht="27" customHeight="1">
      <c r="A3" s="26" t="s">
        <v>37</v>
      </c>
      <c r="B3" s="26" t="s">
        <v>38</v>
      </c>
      <c r="C3" s="26" t="s">
        <v>39</v>
      </c>
      <c r="D3" s="26" t="s">
        <v>40</v>
      </c>
      <c r="E3" s="26" t="s">
        <v>41</v>
      </c>
      <c r="F3" s="26" t="s">
        <v>42</v>
      </c>
    </row>
    <row r="4" spans="1:6" ht="22.9" customHeight="1">
      <c r="A4" t="s">
        <v>52</v>
      </c>
      <c r="B4" t="s">
        <v>51</v>
      </c>
      <c r="C4" t="s">
        <v>45</v>
      </c>
      <c r="D4" t="s">
        <v>97</v>
      </c>
      <c r="E4" s="23">
        <v>12360</v>
      </c>
      <c r="F4" s="23">
        <v>12607.2</v>
      </c>
    </row>
    <row r="5" spans="1:6" ht="22.9" customHeight="1">
      <c r="A5" t="s">
        <v>53</v>
      </c>
      <c r="B5" t="s">
        <v>51</v>
      </c>
      <c r="C5" t="s">
        <v>45</v>
      </c>
      <c r="D5" t="s">
        <v>97</v>
      </c>
      <c r="E5" s="23">
        <v>14832</v>
      </c>
      <c r="F5" s="23">
        <v>15128.64</v>
      </c>
    </row>
    <row r="6" spans="1:6" ht="22.9" customHeight="1">
      <c r="A6" t="s">
        <v>54</v>
      </c>
      <c r="B6" t="s">
        <v>51</v>
      </c>
      <c r="C6" t="s">
        <v>45</v>
      </c>
      <c r="D6" t="s">
        <v>97</v>
      </c>
      <c r="E6" s="23">
        <v>17798.399999999998</v>
      </c>
      <c r="F6" s="23">
        <v>18154.367999999999</v>
      </c>
    </row>
    <row r="7" spans="1:6" ht="22.9" customHeight="1">
      <c r="A7" t="s">
        <v>55</v>
      </c>
      <c r="B7" t="s">
        <v>56</v>
      </c>
      <c r="C7" t="s">
        <v>57</v>
      </c>
      <c r="D7" t="s">
        <v>46</v>
      </c>
      <c r="E7" s="23">
        <v>10400</v>
      </c>
      <c r="F7" s="23">
        <v>10608</v>
      </c>
    </row>
    <row r="8" spans="1:6" ht="22.9" customHeight="1">
      <c r="A8" t="s">
        <v>58</v>
      </c>
      <c r="B8" t="s">
        <v>56</v>
      </c>
      <c r="C8" t="s">
        <v>57</v>
      </c>
      <c r="D8" t="s">
        <v>97</v>
      </c>
      <c r="E8" s="23">
        <v>12729.6</v>
      </c>
      <c r="F8" s="23">
        <v>12729.6</v>
      </c>
    </row>
    <row r="9" spans="1:6" ht="22.9" customHeight="1">
      <c r="A9" t="s">
        <v>59</v>
      </c>
      <c r="B9" t="s">
        <v>56</v>
      </c>
      <c r="C9" t="s">
        <v>57</v>
      </c>
      <c r="D9" t="s">
        <v>97</v>
      </c>
      <c r="E9" s="23">
        <v>14976</v>
      </c>
      <c r="F9" s="23">
        <v>15275.52</v>
      </c>
    </row>
    <row r="10" spans="1:6" ht="22.9" customHeight="1">
      <c r="A10" t="s">
        <v>60</v>
      </c>
      <c r="B10" t="s">
        <v>61</v>
      </c>
      <c r="C10" t="s">
        <v>57</v>
      </c>
      <c r="D10" t="s">
        <v>97</v>
      </c>
      <c r="E10" s="23">
        <v>20000</v>
      </c>
      <c r="F10" s="23">
        <v>20400</v>
      </c>
    </row>
    <row r="11" spans="1:6" ht="22.9" customHeight="1">
      <c r="A11" t="s">
        <v>62</v>
      </c>
      <c r="B11" t="s">
        <v>61</v>
      </c>
      <c r="C11" t="s">
        <v>57</v>
      </c>
      <c r="D11" t="s">
        <v>46</v>
      </c>
      <c r="E11" s="23">
        <v>24000</v>
      </c>
      <c r="F11" s="23">
        <v>24480</v>
      </c>
    </row>
    <row r="12" spans="1:6" ht="22.9" customHeight="1">
      <c r="A12" t="s">
        <v>63</v>
      </c>
      <c r="B12" t="s">
        <v>61</v>
      </c>
      <c r="C12" t="s">
        <v>57</v>
      </c>
      <c r="D12" t="s">
        <v>97</v>
      </c>
      <c r="E12" s="23">
        <v>28800</v>
      </c>
      <c r="F12" s="23">
        <v>29376</v>
      </c>
    </row>
    <row r="13" spans="1:6" ht="22.9" customHeight="1">
      <c r="A13" t="s">
        <v>64</v>
      </c>
      <c r="B13" t="s">
        <v>61</v>
      </c>
      <c r="C13" t="s">
        <v>57</v>
      </c>
      <c r="D13" t="s">
        <v>97</v>
      </c>
      <c r="E13" s="23">
        <v>34560</v>
      </c>
      <c r="F13" s="23">
        <v>35251.199999999997</v>
      </c>
    </row>
    <row r="14" spans="1:6" ht="22.9" customHeight="1">
      <c r="A14" t="s">
        <v>65</v>
      </c>
      <c r="B14" t="s">
        <v>66</v>
      </c>
      <c r="C14" t="s">
        <v>57</v>
      </c>
      <c r="D14" t="s">
        <v>46</v>
      </c>
      <c r="E14" s="23">
        <v>41472</v>
      </c>
      <c r="F14" s="23">
        <v>42301.440000000002</v>
      </c>
    </row>
    <row r="15" spans="1:6" ht="22.9" customHeight="1">
      <c r="A15" t="s">
        <v>67</v>
      </c>
      <c r="B15" t="s">
        <v>68</v>
      </c>
      <c r="C15" t="s">
        <v>69</v>
      </c>
      <c r="D15" t="s">
        <v>46</v>
      </c>
      <c r="E15" s="23">
        <v>49766.400000000001</v>
      </c>
      <c r="F15" s="23">
        <v>50761.728000000003</v>
      </c>
    </row>
    <row r="16" spans="1:6" ht="22.9" customHeight="1">
      <c r="A16" t="s">
        <v>70</v>
      </c>
      <c r="B16" t="s">
        <v>68</v>
      </c>
      <c r="C16" t="s">
        <v>69</v>
      </c>
      <c r="D16" t="s">
        <v>46</v>
      </c>
      <c r="E16" s="23">
        <v>10500</v>
      </c>
      <c r="F16" s="23">
        <v>10710</v>
      </c>
    </row>
    <row r="17" spans="1:6" ht="22.9" customHeight="1">
      <c r="A17" t="s">
        <v>71</v>
      </c>
      <c r="B17" t="s">
        <v>68</v>
      </c>
      <c r="C17" t="s">
        <v>69</v>
      </c>
      <c r="D17" t="s">
        <v>46</v>
      </c>
      <c r="E17" s="23">
        <v>23731.107840000001</v>
      </c>
      <c r="F17" s="23">
        <v>21573.734399999998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0"/>
  <sheetViews>
    <sheetView showGridLines="0" tabSelected="1" workbookViewId="0">
      <selection activeCell="B6" sqref="B6"/>
    </sheetView>
  </sheetViews>
  <sheetFormatPr defaultRowHeight="15.5"/>
  <cols>
    <col min="1" max="1" width="9.61328125" customWidth="1"/>
    <col min="2" max="2" width="10.765625" bestFit="1" customWidth="1"/>
    <col min="3" max="3" width="8.15234375" bestFit="1" customWidth="1"/>
    <col min="4" max="4" width="7" bestFit="1" customWidth="1"/>
    <col min="5" max="5" width="12.3828125" bestFit="1" customWidth="1"/>
    <col min="6" max="6" width="13.15234375" bestFit="1" customWidth="1"/>
  </cols>
  <sheetData>
    <row r="1" spans="1:6" s="20" customFormat="1" ht="18.649999999999999" customHeight="1" thickBot="1">
      <c r="A1" s="21" t="s">
        <v>98</v>
      </c>
      <c r="B1" s="21"/>
      <c r="C1" s="21"/>
      <c r="D1" s="21"/>
      <c r="E1" s="21"/>
      <c r="F1" s="21"/>
    </row>
    <row r="2" spans="1:6" ht="19.899999999999999" customHeight="1">
      <c r="A2" t="s">
        <v>99</v>
      </c>
    </row>
    <row r="3" spans="1:6" s="25" customFormat="1" ht="21.65" customHeight="1">
      <c r="A3" s="26" t="s">
        <v>37</v>
      </c>
      <c r="B3" s="26" t="s">
        <v>38</v>
      </c>
      <c r="C3" s="26" t="s">
        <v>39</v>
      </c>
      <c r="D3" s="26" t="s">
        <v>40</v>
      </c>
      <c r="E3" s="26" t="s">
        <v>41</v>
      </c>
      <c r="F3" s="26" t="s">
        <v>42</v>
      </c>
    </row>
    <row r="4" spans="1:6" ht="21.65" customHeight="1">
      <c r="A4" t="s">
        <v>72</v>
      </c>
      <c r="B4" t="s">
        <v>68</v>
      </c>
      <c r="C4" t="s">
        <v>69</v>
      </c>
      <c r="D4" t="s">
        <v>97</v>
      </c>
      <c r="E4">
        <v>25380.863999999998</v>
      </c>
      <c r="F4">
        <v>25888.48128</v>
      </c>
    </row>
    <row r="5" spans="1:6" ht="21.65" customHeight="1">
      <c r="A5" t="s">
        <v>73</v>
      </c>
      <c r="B5" t="s">
        <v>74</v>
      </c>
      <c r="C5" t="s">
        <v>69</v>
      </c>
      <c r="D5" t="s">
        <v>97</v>
      </c>
      <c r="E5">
        <v>30457.036799999994</v>
      </c>
      <c r="F5">
        <v>31066.177535999996</v>
      </c>
    </row>
    <row r="6" spans="1:6" ht="21.65" customHeight="1">
      <c r="A6" t="s">
        <v>75</v>
      </c>
      <c r="B6" t="s">
        <v>74</v>
      </c>
      <c r="C6" t="s">
        <v>69</v>
      </c>
      <c r="D6" t="s">
        <v>97</v>
      </c>
      <c r="E6">
        <v>10200</v>
      </c>
      <c r="F6">
        <v>10404</v>
      </c>
    </row>
    <row r="7" spans="1:6" ht="21.65" customHeight="1">
      <c r="A7" t="s">
        <v>76</v>
      </c>
      <c r="B7" t="s">
        <v>74</v>
      </c>
      <c r="C7" t="s">
        <v>69</v>
      </c>
      <c r="D7" t="s">
        <v>46</v>
      </c>
      <c r="E7">
        <v>12240</v>
      </c>
      <c r="F7">
        <v>12484.800000000001</v>
      </c>
    </row>
    <row r="8" spans="1:6" ht="21.65" customHeight="1">
      <c r="A8" t="s">
        <v>77</v>
      </c>
      <c r="B8" t="s">
        <v>74</v>
      </c>
      <c r="C8" t="s">
        <v>69</v>
      </c>
      <c r="D8" t="s">
        <v>97</v>
      </c>
      <c r="E8">
        <v>14688</v>
      </c>
      <c r="F8">
        <v>14981.76</v>
      </c>
    </row>
    <row r="9" spans="1:6" ht="21.65" customHeight="1">
      <c r="A9" t="s">
        <v>78</v>
      </c>
      <c r="B9" t="s">
        <v>79</v>
      </c>
      <c r="C9" t="s">
        <v>69</v>
      </c>
      <c r="D9" t="s">
        <v>97</v>
      </c>
      <c r="E9">
        <v>10100</v>
      </c>
      <c r="F9">
        <v>10302</v>
      </c>
    </row>
    <row r="10" spans="1:6" ht="21.65" customHeight="1">
      <c r="A10" t="s">
        <v>80</v>
      </c>
      <c r="B10" t="s">
        <v>79</v>
      </c>
      <c r="C10" t="s">
        <v>69</v>
      </c>
      <c r="D10" t="s">
        <v>97</v>
      </c>
      <c r="E10">
        <v>10300</v>
      </c>
      <c r="F10">
        <v>10506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Link to WorkSheets</vt:lpstr>
      <vt:lpstr>Record First Macro</vt:lpstr>
      <vt:lpstr>Blank Cells</vt:lpstr>
      <vt:lpstr>Summary</vt:lpstr>
      <vt:lpstr>Data1</vt:lpstr>
      <vt:lpstr>Data2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Monika K.</dc:creator>
  <cp:lastModifiedBy>nowneesh thiru</cp:lastModifiedBy>
  <dcterms:created xsi:type="dcterms:W3CDTF">2023-02-17T14:57:05Z</dcterms:created>
  <dcterms:modified xsi:type="dcterms:W3CDTF">2023-03-07T04:06:36Z</dcterms:modified>
</cp:coreProperties>
</file>